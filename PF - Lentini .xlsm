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codeName="ThisWorkbook" hidePivotFieldList="1" defaultThemeVersion="166925"/>
  <mc:AlternateContent xmlns:mc="http://schemas.openxmlformats.org/markup-compatibility/2006">
    <mc:Choice Requires="x15">
      <x15ac:absPath xmlns:x15ac="http://schemas.microsoft.com/office/spreadsheetml/2010/11/ac" url="/Users/aguslentini/Downloads/"/>
    </mc:Choice>
  </mc:AlternateContent>
  <xr:revisionPtr revIDLastSave="0" documentId="13_ncr:1_{E0602E29-9E19-8B43-BCB5-94ACDFD4D908}" xr6:coauthVersionLast="47" xr6:coauthVersionMax="47" xr10:uidLastSave="{00000000-0000-0000-0000-000000000000}"/>
  <bookViews>
    <workbookView xWindow="160" yWindow="1040" windowWidth="28640" windowHeight="14800" activeTab="4" xr2:uid="{00000000-000D-0000-FFFF-FFFF00000000}"/>
  </bookViews>
  <sheets>
    <sheet name="Tabla_Ventas" sheetId="1" r:id="rId1"/>
    <sheet name="Tabla_poblacion" sheetId="4" r:id="rId2"/>
    <sheet name="Auxiliar" sheetId="2" r:id="rId3"/>
    <sheet name="Readme" sheetId="16" r:id="rId4"/>
    <sheet name="Dashboard" sheetId="12" r:id="rId5"/>
  </sheets>
  <definedNames>
    <definedName name="_xlnm._FilterDatabase" localSheetId="1" hidden="1">Tabla_poblacion!$A$9:$B$319</definedName>
    <definedName name="_xlnm._FilterDatabase" localSheetId="0" hidden="1">Tabla_Ventas!$A$3:$K$1003</definedName>
    <definedName name="_xlchart.v2.0" hidden="1">Auxiliar!$B$31:$B$33</definedName>
    <definedName name="_xlchart.v2.1" hidden="1">Auxiliar!$C$31:$C$33</definedName>
    <definedName name="_xlchart.v2.2" hidden="1">Auxiliar!$D$31:$D$33</definedName>
    <definedName name="NativeTimeline_FECHA__Date">#N/A</definedName>
    <definedName name="SegmentaciónDeDatos_SUCURSAL">#N/A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6" i="2" l="1"/>
  <c r="R27" i="2"/>
  <c r="S7" i="2"/>
  <c r="S6" i="2"/>
  <c r="S5" i="2"/>
  <c r="C57" i="2"/>
  <c r="C58" i="2"/>
  <c r="C59" i="2"/>
  <c r="C60" i="2"/>
  <c r="C61" i="2"/>
  <c r="C56" i="2"/>
  <c r="C48" i="2"/>
  <c r="C49" i="2"/>
  <c r="C50" i="2"/>
  <c r="C51" i="2"/>
  <c r="C52" i="2"/>
  <c r="C47" i="2"/>
  <c r="C38" i="2"/>
  <c r="C43" i="2"/>
  <c r="C42" i="2"/>
  <c r="C41" i="2"/>
  <c r="C40" i="2"/>
  <c r="C39" i="2"/>
  <c r="H5" i="4"/>
  <c r="E5" i="4"/>
  <c r="B5" i="4"/>
  <c r="C31" i="2" l="1"/>
  <c r="C32" i="2"/>
  <c r="C33" i="2"/>
  <c r="C62" i="2"/>
  <c r="C44" i="2"/>
  <c r="C53" i="2"/>
  <c r="D9" i="2" l="1"/>
  <c r="D8" i="2"/>
  <c r="D7" i="2"/>
  <c r="D6" i="2"/>
  <c r="C9" i="2"/>
  <c r="C8" i="2"/>
  <c r="C7" i="2"/>
  <c r="C6" i="2"/>
  <c r="C24" i="2"/>
  <c r="C25" i="2"/>
  <c r="C26" i="2"/>
  <c r="G6" i="1"/>
  <c r="L6" i="1" s="1"/>
  <c r="G8" i="1"/>
  <c r="L8" i="1" s="1"/>
  <c r="G9" i="1"/>
  <c r="L9" i="1" s="1"/>
  <c r="G10" i="1"/>
  <c r="L10" i="1" s="1"/>
  <c r="G11" i="1"/>
  <c r="L11" i="1" s="1"/>
  <c r="G12" i="1"/>
  <c r="L12" i="1" s="1"/>
  <c r="G13" i="1"/>
  <c r="L13" i="1" s="1"/>
  <c r="G14" i="1"/>
  <c r="L14" i="1" s="1"/>
  <c r="G15" i="1"/>
  <c r="L15" i="1" s="1"/>
  <c r="G16" i="1"/>
  <c r="L16" i="1" s="1"/>
  <c r="G17" i="1"/>
  <c r="L17" i="1" s="1"/>
  <c r="G18" i="1"/>
  <c r="L18" i="1" s="1"/>
  <c r="G19" i="1"/>
  <c r="L19" i="1" s="1"/>
  <c r="G20" i="1"/>
  <c r="L20" i="1" s="1"/>
  <c r="G21" i="1"/>
  <c r="L21" i="1" s="1"/>
  <c r="G22" i="1"/>
  <c r="L22" i="1" s="1"/>
  <c r="G23" i="1"/>
  <c r="L23" i="1" s="1"/>
  <c r="G24" i="1"/>
  <c r="L24" i="1" s="1"/>
  <c r="G25" i="1"/>
  <c r="L25" i="1" s="1"/>
  <c r="G26" i="1"/>
  <c r="L26" i="1" s="1"/>
  <c r="G27" i="1"/>
  <c r="L27" i="1" s="1"/>
  <c r="G28" i="1"/>
  <c r="L28" i="1" s="1"/>
  <c r="G29" i="1"/>
  <c r="L29" i="1" s="1"/>
  <c r="G30" i="1"/>
  <c r="L30" i="1" s="1"/>
  <c r="G31" i="1"/>
  <c r="L31" i="1" s="1"/>
  <c r="G32" i="1"/>
  <c r="L32" i="1" s="1"/>
  <c r="G33" i="1"/>
  <c r="L33" i="1" s="1"/>
  <c r="G34" i="1"/>
  <c r="L34" i="1" s="1"/>
  <c r="G35" i="1"/>
  <c r="L35" i="1" s="1"/>
  <c r="G36" i="1"/>
  <c r="L36" i="1" s="1"/>
  <c r="G37" i="1"/>
  <c r="L37" i="1" s="1"/>
  <c r="G38" i="1"/>
  <c r="L38" i="1" s="1"/>
  <c r="G39" i="1"/>
  <c r="L39" i="1" s="1"/>
  <c r="G40" i="1"/>
  <c r="L40" i="1" s="1"/>
  <c r="G41" i="1"/>
  <c r="L41" i="1" s="1"/>
  <c r="G42" i="1"/>
  <c r="L42" i="1" s="1"/>
  <c r="G43" i="1"/>
  <c r="L43" i="1" s="1"/>
  <c r="G44" i="1"/>
  <c r="L44" i="1" s="1"/>
  <c r="G45" i="1"/>
  <c r="L45" i="1" s="1"/>
  <c r="G46" i="1"/>
  <c r="L46" i="1" s="1"/>
  <c r="G47" i="1"/>
  <c r="L47" i="1" s="1"/>
  <c r="G48" i="1"/>
  <c r="L48" i="1" s="1"/>
  <c r="G49" i="1"/>
  <c r="L49" i="1" s="1"/>
  <c r="G50" i="1"/>
  <c r="L50" i="1" s="1"/>
  <c r="G51" i="1"/>
  <c r="L51" i="1" s="1"/>
  <c r="G52" i="1"/>
  <c r="L52" i="1" s="1"/>
  <c r="G53" i="1"/>
  <c r="L53" i="1" s="1"/>
  <c r="G54" i="1"/>
  <c r="L54" i="1" s="1"/>
  <c r="G55" i="1"/>
  <c r="L55" i="1" s="1"/>
  <c r="G56" i="1"/>
  <c r="L56" i="1" s="1"/>
  <c r="G57" i="1"/>
  <c r="L57" i="1" s="1"/>
  <c r="G58" i="1"/>
  <c r="L58" i="1" s="1"/>
  <c r="G59" i="1"/>
  <c r="L59" i="1" s="1"/>
  <c r="G60" i="1"/>
  <c r="L60" i="1" s="1"/>
  <c r="G61" i="1"/>
  <c r="L61" i="1" s="1"/>
  <c r="G62" i="1"/>
  <c r="L62" i="1" s="1"/>
  <c r="G63" i="1"/>
  <c r="L63" i="1" s="1"/>
  <c r="G64" i="1"/>
  <c r="L64" i="1" s="1"/>
  <c r="G65" i="1"/>
  <c r="L65" i="1" s="1"/>
  <c r="G66" i="1"/>
  <c r="L66" i="1" s="1"/>
  <c r="G67" i="1"/>
  <c r="L67" i="1" s="1"/>
  <c r="G68" i="1"/>
  <c r="L68" i="1" s="1"/>
  <c r="G69" i="1"/>
  <c r="L69" i="1" s="1"/>
  <c r="G70" i="1"/>
  <c r="L70" i="1" s="1"/>
  <c r="G71" i="1"/>
  <c r="L71" i="1" s="1"/>
  <c r="G72" i="1"/>
  <c r="L72" i="1" s="1"/>
  <c r="G73" i="1"/>
  <c r="L73" i="1" s="1"/>
  <c r="G74" i="1"/>
  <c r="L74" i="1" s="1"/>
  <c r="G75" i="1"/>
  <c r="L75" i="1" s="1"/>
  <c r="G76" i="1"/>
  <c r="L76" i="1" s="1"/>
  <c r="G77" i="1"/>
  <c r="L77" i="1" s="1"/>
  <c r="G78" i="1"/>
  <c r="L78" i="1" s="1"/>
  <c r="G79" i="1"/>
  <c r="L79" i="1" s="1"/>
  <c r="G80" i="1"/>
  <c r="L80" i="1" s="1"/>
  <c r="G81" i="1"/>
  <c r="L81" i="1" s="1"/>
  <c r="G82" i="1"/>
  <c r="L82" i="1" s="1"/>
  <c r="G83" i="1"/>
  <c r="L83" i="1" s="1"/>
  <c r="G84" i="1"/>
  <c r="L84" i="1" s="1"/>
  <c r="G85" i="1"/>
  <c r="L85" i="1" s="1"/>
  <c r="G86" i="1"/>
  <c r="L86" i="1" s="1"/>
  <c r="G87" i="1"/>
  <c r="L87" i="1" s="1"/>
  <c r="G88" i="1"/>
  <c r="L88" i="1" s="1"/>
  <c r="G89" i="1"/>
  <c r="L89" i="1" s="1"/>
  <c r="G90" i="1"/>
  <c r="L90" i="1" s="1"/>
  <c r="G91" i="1"/>
  <c r="L91" i="1" s="1"/>
  <c r="G92" i="1"/>
  <c r="L92" i="1" s="1"/>
  <c r="G93" i="1"/>
  <c r="L93" i="1" s="1"/>
  <c r="G94" i="1"/>
  <c r="L94" i="1" s="1"/>
  <c r="G95" i="1"/>
  <c r="L95" i="1" s="1"/>
  <c r="G96" i="1"/>
  <c r="L96" i="1" s="1"/>
  <c r="G97" i="1"/>
  <c r="L97" i="1" s="1"/>
  <c r="G98" i="1"/>
  <c r="L98" i="1" s="1"/>
  <c r="G99" i="1"/>
  <c r="L99" i="1" s="1"/>
  <c r="G100" i="1"/>
  <c r="L100" i="1" s="1"/>
  <c r="G101" i="1"/>
  <c r="L101" i="1" s="1"/>
  <c r="G102" i="1"/>
  <c r="L102" i="1" s="1"/>
  <c r="G103" i="1"/>
  <c r="L103" i="1" s="1"/>
  <c r="G104" i="1"/>
  <c r="L104" i="1" s="1"/>
  <c r="G105" i="1"/>
  <c r="L105" i="1" s="1"/>
  <c r="G106" i="1"/>
  <c r="L106" i="1" s="1"/>
  <c r="G107" i="1"/>
  <c r="L107" i="1" s="1"/>
  <c r="G108" i="1"/>
  <c r="L108" i="1" s="1"/>
  <c r="G109" i="1"/>
  <c r="L109" i="1" s="1"/>
  <c r="G110" i="1"/>
  <c r="L110" i="1" s="1"/>
  <c r="G111" i="1"/>
  <c r="L111" i="1" s="1"/>
  <c r="G112" i="1"/>
  <c r="L112" i="1" s="1"/>
  <c r="G113" i="1"/>
  <c r="L113" i="1" s="1"/>
  <c r="G114" i="1"/>
  <c r="L114" i="1" s="1"/>
  <c r="G115" i="1"/>
  <c r="L115" i="1" s="1"/>
  <c r="G116" i="1"/>
  <c r="L116" i="1" s="1"/>
  <c r="G117" i="1"/>
  <c r="L117" i="1" s="1"/>
  <c r="G118" i="1"/>
  <c r="L118" i="1" s="1"/>
  <c r="G119" i="1"/>
  <c r="L119" i="1" s="1"/>
  <c r="G120" i="1"/>
  <c r="L120" i="1" s="1"/>
  <c r="G121" i="1"/>
  <c r="L121" i="1" s="1"/>
  <c r="G122" i="1"/>
  <c r="L122" i="1" s="1"/>
  <c r="G123" i="1"/>
  <c r="L123" i="1" s="1"/>
  <c r="G124" i="1"/>
  <c r="L124" i="1" s="1"/>
  <c r="G125" i="1"/>
  <c r="L125" i="1" s="1"/>
  <c r="G126" i="1"/>
  <c r="L126" i="1" s="1"/>
  <c r="G127" i="1"/>
  <c r="L127" i="1" s="1"/>
  <c r="G128" i="1"/>
  <c r="L128" i="1" s="1"/>
  <c r="G129" i="1"/>
  <c r="L129" i="1" s="1"/>
  <c r="G130" i="1"/>
  <c r="L130" i="1" s="1"/>
  <c r="G131" i="1"/>
  <c r="L131" i="1" s="1"/>
  <c r="G132" i="1"/>
  <c r="L132" i="1" s="1"/>
  <c r="G133" i="1"/>
  <c r="L133" i="1" s="1"/>
  <c r="G134" i="1"/>
  <c r="L134" i="1" s="1"/>
  <c r="G135" i="1"/>
  <c r="L135" i="1" s="1"/>
  <c r="G136" i="1"/>
  <c r="L136" i="1" s="1"/>
  <c r="G137" i="1"/>
  <c r="L137" i="1" s="1"/>
  <c r="G138" i="1"/>
  <c r="L138" i="1" s="1"/>
  <c r="G139" i="1"/>
  <c r="L139" i="1" s="1"/>
  <c r="G140" i="1"/>
  <c r="L140" i="1" s="1"/>
  <c r="G141" i="1"/>
  <c r="L141" i="1" s="1"/>
  <c r="G142" i="1"/>
  <c r="L142" i="1" s="1"/>
  <c r="G143" i="1"/>
  <c r="L143" i="1" s="1"/>
  <c r="G144" i="1"/>
  <c r="L144" i="1" s="1"/>
  <c r="G145" i="1"/>
  <c r="L145" i="1" s="1"/>
  <c r="G146" i="1"/>
  <c r="L146" i="1" s="1"/>
  <c r="G147" i="1"/>
  <c r="L147" i="1" s="1"/>
  <c r="G148" i="1"/>
  <c r="L148" i="1" s="1"/>
  <c r="G149" i="1"/>
  <c r="L149" i="1" s="1"/>
  <c r="G150" i="1"/>
  <c r="L150" i="1" s="1"/>
  <c r="G151" i="1"/>
  <c r="L151" i="1" s="1"/>
  <c r="G152" i="1"/>
  <c r="L152" i="1" s="1"/>
  <c r="G153" i="1"/>
  <c r="L153" i="1" s="1"/>
  <c r="G154" i="1"/>
  <c r="L154" i="1" s="1"/>
  <c r="G155" i="1"/>
  <c r="L155" i="1" s="1"/>
  <c r="G156" i="1"/>
  <c r="L156" i="1" s="1"/>
  <c r="G157" i="1"/>
  <c r="L157" i="1" s="1"/>
  <c r="G158" i="1"/>
  <c r="L158" i="1" s="1"/>
  <c r="G159" i="1"/>
  <c r="L159" i="1" s="1"/>
  <c r="G160" i="1"/>
  <c r="L160" i="1" s="1"/>
  <c r="G161" i="1"/>
  <c r="L161" i="1" s="1"/>
  <c r="G162" i="1"/>
  <c r="L162" i="1" s="1"/>
  <c r="G163" i="1"/>
  <c r="L163" i="1" s="1"/>
  <c r="G164" i="1"/>
  <c r="L164" i="1" s="1"/>
  <c r="G165" i="1"/>
  <c r="L165" i="1" s="1"/>
  <c r="G166" i="1"/>
  <c r="L166" i="1" s="1"/>
  <c r="G167" i="1"/>
  <c r="L167" i="1" s="1"/>
  <c r="G168" i="1"/>
  <c r="L168" i="1" s="1"/>
  <c r="G169" i="1"/>
  <c r="L169" i="1" s="1"/>
  <c r="G170" i="1"/>
  <c r="L170" i="1" s="1"/>
  <c r="G171" i="1"/>
  <c r="L171" i="1" s="1"/>
  <c r="G172" i="1"/>
  <c r="L172" i="1" s="1"/>
  <c r="G173" i="1"/>
  <c r="L173" i="1" s="1"/>
  <c r="G174" i="1"/>
  <c r="L174" i="1" s="1"/>
  <c r="G175" i="1"/>
  <c r="L175" i="1" s="1"/>
  <c r="G176" i="1"/>
  <c r="L176" i="1" s="1"/>
  <c r="G177" i="1"/>
  <c r="L177" i="1" s="1"/>
  <c r="G178" i="1"/>
  <c r="L178" i="1" s="1"/>
  <c r="G179" i="1"/>
  <c r="L179" i="1" s="1"/>
  <c r="G180" i="1"/>
  <c r="L180" i="1" s="1"/>
  <c r="G181" i="1"/>
  <c r="L181" i="1" s="1"/>
  <c r="G182" i="1"/>
  <c r="L182" i="1" s="1"/>
  <c r="G183" i="1"/>
  <c r="L183" i="1" s="1"/>
  <c r="G184" i="1"/>
  <c r="L184" i="1" s="1"/>
  <c r="G185" i="1"/>
  <c r="L185" i="1" s="1"/>
  <c r="G186" i="1"/>
  <c r="L186" i="1" s="1"/>
  <c r="G187" i="1"/>
  <c r="L187" i="1" s="1"/>
  <c r="G188" i="1"/>
  <c r="L188" i="1" s="1"/>
  <c r="G189" i="1"/>
  <c r="L189" i="1" s="1"/>
  <c r="G190" i="1"/>
  <c r="L190" i="1" s="1"/>
  <c r="G191" i="1"/>
  <c r="L191" i="1" s="1"/>
  <c r="G192" i="1"/>
  <c r="L192" i="1" s="1"/>
  <c r="G193" i="1"/>
  <c r="L193" i="1" s="1"/>
  <c r="G194" i="1"/>
  <c r="L194" i="1" s="1"/>
  <c r="G195" i="1"/>
  <c r="L195" i="1" s="1"/>
  <c r="G196" i="1"/>
  <c r="L196" i="1" s="1"/>
  <c r="G197" i="1"/>
  <c r="L197" i="1" s="1"/>
  <c r="G198" i="1"/>
  <c r="L198" i="1" s="1"/>
  <c r="G199" i="1"/>
  <c r="L199" i="1" s="1"/>
  <c r="G200" i="1"/>
  <c r="L200" i="1" s="1"/>
  <c r="G201" i="1"/>
  <c r="L201" i="1" s="1"/>
  <c r="G202" i="1"/>
  <c r="L202" i="1" s="1"/>
  <c r="G203" i="1"/>
  <c r="L203" i="1" s="1"/>
  <c r="G204" i="1"/>
  <c r="L204" i="1" s="1"/>
  <c r="G205" i="1"/>
  <c r="L205" i="1" s="1"/>
  <c r="G206" i="1"/>
  <c r="L206" i="1" s="1"/>
  <c r="G207" i="1"/>
  <c r="L207" i="1" s="1"/>
  <c r="G208" i="1"/>
  <c r="L208" i="1" s="1"/>
  <c r="G209" i="1"/>
  <c r="L209" i="1" s="1"/>
  <c r="G210" i="1"/>
  <c r="L210" i="1" s="1"/>
  <c r="G211" i="1"/>
  <c r="L211" i="1" s="1"/>
  <c r="G212" i="1"/>
  <c r="L212" i="1" s="1"/>
  <c r="G213" i="1"/>
  <c r="L213" i="1" s="1"/>
  <c r="G214" i="1"/>
  <c r="L214" i="1" s="1"/>
  <c r="G215" i="1"/>
  <c r="L215" i="1" s="1"/>
  <c r="G216" i="1"/>
  <c r="L216" i="1" s="1"/>
  <c r="G217" i="1"/>
  <c r="L217" i="1" s="1"/>
  <c r="G218" i="1"/>
  <c r="L218" i="1" s="1"/>
  <c r="G219" i="1"/>
  <c r="L219" i="1" s="1"/>
  <c r="G220" i="1"/>
  <c r="L220" i="1" s="1"/>
  <c r="G221" i="1"/>
  <c r="L221" i="1" s="1"/>
  <c r="G222" i="1"/>
  <c r="L222" i="1" s="1"/>
  <c r="G223" i="1"/>
  <c r="L223" i="1" s="1"/>
  <c r="G224" i="1"/>
  <c r="L224" i="1" s="1"/>
  <c r="G225" i="1"/>
  <c r="L225" i="1" s="1"/>
  <c r="G226" i="1"/>
  <c r="L226" i="1" s="1"/>
  <c r="G227" i="1"/>
  <c r="L227" i="1" s="1"/>
  <c r="G228" i="1"/>
  <c r="L228" i="1" s="1"/>
  <c r="G229" i="1"/>
  <c r="L229" i="1" s="1"/>
  <c r="G230" i="1"/>
  <c r="L230" i="1" s="1"/>
  <c r="G231" i="1"/>
  <c r="L231" i="1" s="1"/>
  <c r="G232" i="1"/>
  <c r="L232" i="1" s="1"/>
  <c r="G233" i="1"/>
  <c r="L233" i="1" s="1"/>
  <c r="G234" i="1"/>
  <c r="L234" i="1" s="1"/>
  <c r="G235" i="1"/>
  <c r="L235" i="1" s="1"/>
  <c r="G236" i="1"/>
  <c r="L236" i="1" s="1"/>
  <c r="G237" i="1"/>
  <c r="L237" i="1" s="1"/>
  <c r="G238" i="1"/>
  <c r="L238" i="1" s="1"/>
  <c r="G239" i="1"/>
  <c r="L239" i="1" s="1"/>
  <c r="G240" i="1"/>
  <c r="L240" i="1" s="1"/>
  <c r="G241" i="1"/>
  <c r="L241" i="1" s="1"/>
  <c r="G242" i="1"/>
  <c r="L242" i="1" s="1"/>
  <c r="G243" i="1"/>
  <c r="L243" i="1" s="1"/>
  <c r="G244" i="1"/>
  <c r="L244" i="1" s="1"/>
  <c r="G245" i="1"/>
  <c r="L245" i="1" s="1"/>
  <c r="G246" i="1"/>
  <c r="L246" i="1" s="1"/>
  <c r="G247" i="1"/>
  <c r="L247" i="1" s="1"/>
  <c r="G248" i="1"/>
  <c r="L248" i="1" s="1"/>
  <c r="G249" i="1"/>
  <c r="L249" i="1" s="1"/>
  <c r="G250" i="1"/>
  <c r="L250" i="1" s="1"/>
  <c r="G251" i="1"/>
  <c r="L251" i="1" s="1"/>
  <c r="G252" i="1"/>
  <c r="L252" i="1" s="1"/>
  <c r="G253" i="1"/>
  <c r="L253" i="1" s="1"/>
  <c r="G254" i="1"/>
  <c r="L254" i="1" s="1"/>
  <c r="G255" i="1"/>
  <c r="L255" i="1" s="1"/>
  <c r="G256" i="1"/>
  <c r="L256" i="1" s="1"/>
  <c r="G257" i="1"/>
  <c r="L257" i="1" s="1"/>
  <c r="G258" i="1"/>
  <c r="L258" i="1" s="1"/>
  <c r="G259" i="1"/>
  <c r="L259" i="1" s="1"/>
  <c r="G260" i="1"/>
  <c r="L260" i="1" s="1"/>
  <c r="G261" i="1"/>
  <c r="L261" i="1" s="1"/>
  <c r="G262" i="1"/>
  <c r="L262" i="1" s="1"/>
  <c r="G263" i="1"/>
  <c r="L263" i="1" s="1"/>
  <c r="G264" i="1"/>
  <c r="L264" i="1" s="1"/>
  <c r="G265" i="1"/>
  <c r="L265" i="1" s="1"/>
  <c r="G266" i="1"/>
  <c r="L266" i="1" s="1"/>
  <c r="G267" i="1"/>
  <c r="L267" i="1" s="1"/>
  <c r="G268" i="1"/>
  <c r="L268" i="1" s="1"/>
  <c r="G269" i="1"/>
  <c r="L269" i="1" s="1"/>
  <c r="G270" i="1"/>
  <c r="L270" i="1" s="1"/>
  <c r="G271" i="1"/>
  <c r="L271" i="1" s="1"/>
  <c r="G272" i="1"/>
  <c r="L272" i="1" s="1"/>
  <c r="G273" i="1"/>
  <c r="L273" i="1" s="1"/>
  <c r="G274" i="1"/>
  <c r="L274" i="1" s="1"/>
  <c r="G275" i="1"/>
  <c r="L275" i="1" s="1"/>
  <c r="G276" i="1"/>
  <c r="L276" i="1" s="1"/>
  <c r="G277" i="1"/>
  <c r="L277" i="1" s="1"/>
  <c r="G278" i="1"/>
  <c r="L278" i="1" s="1"/>
  <c r="G279" i="1"/>
  <c r="L279" i="1" s="1"/>
  <c r="G280" i="1"/>
  <c r="L280" i="1" s="1"/>
  <c r="G281" i="1"/>
  <c r="L281" i="1" s="1"/>
  <c r="G282" i="1"/>
  <c r="L282" i="1" s="1"/>
  <c r="G283" i="1"/>
  <c r="L283" i="1" s="1"/>
  <c r="G284" i="1"/>
  <c r="L284" i="1" s="1"/>
  <c r="G285" i="1"/>
  <c r="L285" i="1" s="1"/>
  <c r="G286" i="1"/>
  <c r="L286" i="1" s="1"/>
  <c r="G287" i="1"/>
  <c r="L287" i="1" s="1"/>
  <c r="G288" i="1"/>
  <c r="L288" i="1" s="1"/>
  <c r="G289" i="1"/>
  <c r="L289" i="1" s="1"/>
  <c r="G290" i="1"/>
  <c r="L290" i="1" s="1"/>
  <c r="G291" i="1"/>
  <c r="L291" i="1" s="1"/>
  <c r="G292" i="1"/>
  <c r="L292" i="1" s="1"/>
  <c r="G293" i="1"/>
  <c r="L293" i="1" s="1"/>
  <c r="G294" i="1"/>
  <c r="L294" i="1" s="1"/>
  <c r="G295" i="1"/>
  <c r="L295" i="1" s="1"/>
  <c r="G296" i="1"/>
  <c r="L296" i="1" s="1"/>
  <c r="G297" i="1"/>
  <c r="L297" i="1" s="1"/>
  <c r="G298" i="1"/>
  <c r="L298" i="1" s="1"/>
  <c r="G299" i="1"/>
  <c r="L299" i="1" s="1"/>
  <c r="G300" i="1"/>
  <c r="L300" i="1" s="1"/>
  <c r="G301" i="1"/>
  <c r="L301" i="1" s="1"/>
  <c r="G302" i="1"/>
  <c r="L302" i="1" s="1"/>
  <c r="G303" i="1"/>
  <c r="L303" i="1" s="1"/>
  <c r="G304" i="1"/>
  <c r="L304" i="1" s="1"/>
  <c r="G305" i="1"/>
  <c r="L305" i="1" s="1"/>
  <c r="G306" i="1"/>
  <c r="L306" i="1" s="1"/>
  <c r="G307" i="1"/>
  <c r="L307" i="1" s="1"/>
  <c r="G308" i="1"/>
  <c r="L308" i="1" s="1"/>
  <c r="G309" i="1"/>
  <c r="L309" i="1" s="1"/>
  <c r="G310" i="1"/>
  <c r="L310" i="1" s="1"/>
  <c r="G311" i="1"/>
  <c r="L311" i="1" s="1"/>
  <c r="G312" i="1"/>
  <c r="L312" i="1" s="1"/>
  <c r="G313" i="1"/>
  <c r="L313" i="1" s="1"/>
  <c r="G314" i="1"/>
  <c r="L314" i="1" s="1"/>
  <c r="G315" i="1"/>
  <c r="L315" i="1" s="1"/>
  <c r="G316" i="1"/>
  <c r="L316" i="1" s="1"/>
  <c r="G317" i="1"/>
  <c r="L317" i="1" s="1"/>
  <c r="G318" i="1"/>
  <c r="L318" i="1" s="1"/>
  <c r="G319" i="1"/>
  <c r="L319" i="1" s="1"/>
  <c r="G320" i="1"/>
  <c r="L320" i="1" s="1"/>
  <c r="G321" i="1"/>
  <c r="L321" i="1" s="1"/>
  <c r="G322" i="1"/>
  <c r="L322" i="1" s="1"/>
  <c r="G323" i="1"/>
  <c r="L323" i="1" s="1"/>
  <c r="G324" i="1"/>
  <c r="L324" i="1" s="1"/>
  <c r="G325" i="1"/>
  <c r="L325" i="1" s="1"/>
  <c r="G326" i="1"/>
  <c r="L326" i="1" s="1"/>
  <c r="G327" i="1"/>
  <c r="L327" i="1" s="1"/>
  <c r="G328" i="1"/>
  <c r="L328" i="1" s="1"/>
  <c r="G329" i="1"/>
  <c r="L329" i="1" s="1"/>
  <c r="G330" i="1"/>
  <c r="L330" i="1" s="1"/>
  <c r="G331" i="1"/>
  <c r="L331" i="1" s="1"/>
  <c r="G332" i="1"/>
  <c r="L332" i="1" s="1"/>
  <c r="G333" i="1"/>
  <c r="L333" i="1" s="1"/>
  <c r="G334" i="1"/>
  <c r="L334" i="1" s="1"/>
  <c r="G335" i="1"/>
  <c r="L335" i="1" s="1"/>
  <c r="G336" i="1"/>
  <c r="L336" i="1" s="1"/>
  <c r="G337" i="1"/>
  <c r="L337" i="1" s="1"/>
  <c r="G338" i="1"/>
  <c r="L338" i="1" s="1"/>
  <c r="G339" i="1"/>
  <c r="L339" i="1" s="1"/>
  <c r="G340" i="1"/>
  <c r="L340" i="1" s="1"/>
  <c r="G341" i="1"/>
  <c r="L341" i="1" s="1"/>
  <c r="G342" i="1"/>
  <c r="L342" i="1" s="1"/>
  <c r="G343" i="1"/>
  <c r="L343" i="1" s="1"/>
  <c r="G344" i="1"/>
  <c r="L344" i="1" s="1"/>
  <c r="G345" i="1"/>
  <c r="L345" i="1" s="1"/>
  <c r="G346" i="1"/>
  <c r="L346" i="1" s="1"/>
  <c r="G347" i="1"/>
  <c r="L347" i="1" s="1"/>
  <c r="G348" i="1"/>
  <c r="L348" i="1" s="1"/>
  <c r="G349" i="1"/>
  <c r="L349" i="1" s="1"/>
  <c r="G350" i="1"/>
  <c r="L350" i="1" s="1"/>
  <c r="G351" i="1"/>
  <c r="L351" i="1" s="1"/>
  <c r="G352" i="1"/>
  <c r="L352" i="1" s="1"/>
  <c r="G353" i="1"/>
  <c r="L353" i="1" s="1"/>
  <c r="G354" i="1"/>
  <c r="L354" i="1" s="1"/>
  <c r="G355" i="1"/>
  <c r="L355" i="1" s="1"/>
  <c r="G356" i="1"/>
  <c r="L356" i="1" s="1"/>
  <c r="G357" i="1"/>
  <c r="L357" i="1" s="1"/>
  <c r="G358" i="1"/>
  <c r="L358" i="1" s="1"/>
  <c r="G359" i="1"/>
  <c r="L359" i="1" s="1"/>
  <c r="G360" i="1"/>
  <c r="L360" i="1" s="1"/>
  <c r="G361" i="1"/>
  <c r="L361" i="1" s="1"/>
  <c r="G362" i="1"/>
  <c r="L362" i="1" s="1"/>
  <c r="G363" i="1"/>
  <c r="L363" i="1" s="1"/>
  <c r="G364" i="1"/>
  <c r="L364" i="1" s="1"/>
  <c r="G365" i="1"/>
  <c r="L365" i="1" s="1"/>
  <c r="G366" i="1"/>
  <c r="L366" i="1" s="1"/>
  <c r="G367" i="1"/>
  <c r="L367" i="1" s="1"/>
  <c r="G368" i="1"/>
  <c r="L368" i="1" s="1"/>
  <c r="G369" i="1"/>
  <c r="L369" i="1" s="1"/>
  <c r="G370" i="1"/>
  <c r="L370" i="1" s="1"/>
  <c r="G371" i="1"/>
  <c r="L371" i="1" s="1"/>
  <c r="G372" i="1"/>
  <c r="L372" i="1" s="1"/>
  <c r="G373" i="1"/>
  <c r="L373" i="1" s="1"/>
  <c r="G374" i="1"/>
  <c r="L374" i="1" s="1"/>
  <c r="G375" i="1"/>
  <c r="L375" i="1" s="1"/>
  <c r="G376" i="1"/>
  <c r="L376" i="1" s="1"/>
  <c r="G377" i="1"/>
  <c r="L377" i="1" s="1"/>
  <c r="G378" i="1"/>
  <c r="L378" i="1" s="1"/>
  <c r="G379" i="1"/>
  <c r="L379" i="1" s="1"/>
  <c r="G380" i="1"/>
  <c r="L380" i="1" s="1"/>
  <c r="G381" i="1"/>
  <c r="L381" i="1" s="1"/>
  <c r="G382" i="1"/>
  <c r="L382" i="1" s="1"/>
  <c r="G383" i="1"/>
  <c r="L383" i="1" s="1"/>
  <c r="G384" i="1"/>
  <c r="L384" i="1" s="1"/>
  <c r="G385" i="1"/>
  <c r="L385" i="1" s="1"/>
  <c r="G386" i="1"/>
  <c r="L386" i="1" s="1"/>
  <c r="G387" i="1"/>
  <c r="L387" i="1" s="1"/>
  <c r="G388" i="1"/>
  <c r="L388" i="1" s="1"/>
  <c r="G389" i="1"/>
  <c r="L389" i="1" s="1"/>
  <c r="G390" i="1"/>
  <c r="L390" i="1" s="1"/>
  <c r="G391" i="1"/>
  <c r="L391" i="1" s="1"/>
  <c r="G392" i="1"/>
  <c r="L392" i="1" s="1"/>
  <c r="G393" i="1"/>
  <c r="L393" i="1" s="1"/>
  <c r="G394" i="1"/>
  <c r="L394" i="1" s="1"/>
  <c r="G395" i="1"/>
  <c r="L395" i="1" s="1"/>
  <c r="G396" i="1"/>
  <c r="L396" i="1" s="1"/>
  <c r="G397" i="1"/>
  <c r="L397" i="1" s="1"/>
  <c r="G398" i="1"/>
  <c r="L398" i="1" s="1"/>
  <c r="G399" i="1"/>
  <c r="L399" i="1" s="1"/>
  <c r="G400" i="1"/>
  <c r="L400" i="1" s="1"/>
  <c r="G401" i="1"/>
  <c r="L401" i="1" s="1"/>
  <c r="G402" i="1"/>
  <c r="L402" i="1" s="1"/>
  <c r="G403" i="1"/>
  <c r="L403" i="1" s="1"/>
  <c r="G404" i="1"/>
  <c r="L404" i="1" s="1"/>
  <c r="G405" i="1"/>
  <c r="L405" i="1" s="1"/>
  <c r="G406" i="1"/>
  <c r="L406" i="1" s="1"/>
  <c r="G407" i="1"/>
  <c r="L407" i="1" s="1"/>
  <c r="G408" i="1"/>
  <c r="L408" i="1" s="1"/>
  <c r="G409" i="1"/>
  <c r="L409" i="1" s="1"/>
  <c r="G410" i="1"/>
  <c r="L410" i="1" s="1"/>
  <c r="G411" i="1"/>
  <c r="L411" i="1" s="1"/>
  <c r="G412" i="1"/>
  <c r="L412" i="1" s="1"/>
  <c r="G413" i="1"/>
  <c r="L413" i="1" s="1"/>
  <c r="G414" i="1"/>
  <c r="L414" i="1" s="1"/>
  <c r="G415" i="1"/>
  <c r="L415" i="1" s="1"/>
  <c r="G416" i="1"/>
  <c r="L416" i="1" s="1"/>
  <c r="G417" i="1"/>
  <c r="L417" i="1" s="1"/>
  <c r="G418" i="1"/>
  <c r="L418" i="1" s="1"/>
  <c r="G419" i="1"/>
  <c r="L419" i="1" s="1"/>
  <c r="G420" i="1"/>
  <c r="L420" i="1" s="1"/>
  <c r="G421" i="1"/>
  <c r="L421" i="1" s="1"/>
  <c r="G422" i="1"/>
  <c r="L422" i="1" s="1"/>
  <c r="G423" i="1"/>
  <c r="L423" i="1" s="1"/>
  <c r="G424" i="1"/>
  <c r="L424" i="1" s="1"/>
  <c r="G425" i="1"/>
  <c r="L425" i="1" s="1"/>
  <c r="G426" i="1"/>
  <c r="L426" i="1" s="1"/>
  <c r="G427" i="1"/>
  <c r="L427" i="1" s="1"/>
  <c r="G428" i="1"/>
  <c r="L428" i="1" s="1"/>
  <c r="G429" i="1"/>
  <c r="L429" i="1" s="1"/>
  <c r="G430" i="1"/>
  <c r="L430" i="1" s="1"/>
  <c r="G431" i="1"/>
  <c r="L431" i="1" s="1"/>
  <c r="G432" i="1"/>
  <c r="L432" i="1" s="1"/>
  <c r="G433" i="1"/>
  <c r="L433" i="1" s="1"/>
  <c r="G434" i="1"/>
  <c r="L434" i="1" s="1"/>
  <c r="G435" i="1"/>
  <c r="L435" i="1" s="1"/>
  <c r="G436" i="1"/>
  <c r="L436" i="1" s="1"/>
  <c r="G437" i="1"/>
  <c r="L437" i="1" s="1"/>
  <c r="G438" i="1"/>
  <c r="L438" i="1" s="1"/>
  <c r="G439" i="1"/>
  <c r="L439" i="1" s="1"/>
  <c r="G440" i="1"/>
  <c r="L440" i="1" s="1"/>
  <c r="G441" i="1"/>
  <c r="L441" i="1" s="1"/>
  <c r="G442" i="1"/>
  <c r="L442" i="1" s="1"/>
  <c r="G443" i="1"/>
  <c r="L443" i="1" s="1"/>
  <c r="G444" i="1"/>
  <c r="L444" i="1" s="1"/>
  <c r="G445" i="1"/>
  <c r="L445" i="1" s="1"/>
  <c r="G446" i="1"/>
  <c r="L446" i="1" s="1"/>
  <c r="G447" i="1"/>
  <c r="L447" i="1" s="1"/>
  <c r="G448" i="1"/>
  <c r="L448" i="1" s="1"/>
  <c r="G449" i="1"/>
  <c r="L449" i="1" s="1"/>
  <c r="G450" i="1"/>
  <c r="L450" i="1" s="1"/>
  <c r="G451" i="1"/>
  <c r="L451" i="1" s="1"/>
  <c r="G452" i="1"/>
  <c r="L452" i="1" s="1"/>
  <c r="G453" i="1"/>
  <c r="L453" i="1" s="1"/>
  <c r="G454" i="1"/>
  <c r="L454" i="1" s="1"/>
  <c r="G455" i="1"/>
  <c r="L455" i="1" s="1"/>
  <c r="G456" i="1"/>
  <c r="L456" i="1" s="1"/>
  <c r="G457" i="1"/>
  <c r="L457" i="1" s="1"/>
  <c r="G458" i="1"/>
  <c r="L458" i="1" s="1"/>
  <c r="G459" i="1"/>
  <c r="L459" i="1" s="1"/>
  <c r="G460" i="1"/>
  <c r="L460" i="1" s="1"/>
  <c r="G461" i="1"/>
  <c r="L461" i="1" s="1"/>
  <c r="G462" i="1"/>
  <c r="L462" i="1" s="1"/>
  <c r="G463" i="1"/>
  <c r="L463" i="1" s="1"/>
  <c r="G464" i="1"/>
  <c r="L464" i="1" s="1"/>
  <c r="G465" i="1"/>
  <c r="L465" i="1" s="1"/>
  <c r="G466" i="1"/>
  <c r="L466" i="1" s="1"/>
  <c r="G467" i="1"/>
  <c r="L467" i="1" s="1"/>
  <c r="G468" i="1"/>
  <c r="L468" i="1" s="1"/>
  <c r="G469" i="1"/>
  <c r="L469" i="1" s="1"/>
  <c r="G470" i="1"/>
  <c r="L470" i="1" s="1"/>
  <c r="G471" i="1"/>
  <c r="L471" i="1" s="1"/>
  <c r="G472" i="1"/>
  <c r="L472" i="1" s="1"/>
  <c r="G473" i="1"/>
  <c r="L473" i="1" s="1"/>
  <c r="G474" i="1"/>
  <c r="L474" i="1" s="1"/>
  <c r="G475" i="1"/>
  <c r="L475" i="1" s="1"/>
  <c r="G476" i="1"/>
  <c r="L476" i="1" s="1"/>
  <c r="G477" i="1"/>
  <c r="L477" i="1" s="1"/>
  <c r="G478" i="1"/>
  <c r="L478" i="1" s="1"/>
  <c r="G479" i="1"/>
  <c r="L479" i="1" s="1"/>
  <c r="G480" i="1"/>
  <c r="L480" i="1" s="1"/>
  <c r="G481" i="1"/>
  <c r="L481" i="1" s="1"/>
  <c r="G482" i="1"/>
  <c r="L482" i="1" s="1"/>
  <c r="G483" i="1"/>
  <c r="L483" i="1" s="1"/>
  <c r="G484" i="1"/>
  <c r="L484" i="1" s="1"/>
  <c r="G485" i="1"/>
  <c r="L485" i="1" s="1"/>
  <c r="G486" i="1"/>
  <c r="L486" i="1" s="1"/>
  <c r="G487" i="1"/>
  <c r="L487" i="1" s="1"/>
  <c r="G488" i="1"/>
  <c r="L488" i="1" s="1"/>
  <c r="G489" i="1"/>
  <c r="L489" i="1" s="1"/>
  <c r="G490" i="1"/>
  <c r="L490" i="1" s="1"/>
  <c r="G491" i="1"/>
  <c r="L491" i="1" s="1"/>
  <c r="G492" i="1"/>
  <c r="L492" i="1" s="1"/>
  <c r="G493" i="1"/>
  <c r="L493" i="1" s="1"/>
  <c r="G494" i="1"/>
  <c r="L494" i="1" s="1"/>
  <c r="G495" i="1"/>
  <c r="L495" i="1" s="1"/>
  <c r="G496" i="1"/>
  <c r="L496" i="1" s="1"/>
  <c r="G497" i="1"/>
  <c r="L497" i="1" s="1"/>
  <c r="G498" i="1"/>
  <c r="L498" i="1" s="1"/>
  <c r="G499" i="1"/>
  <c r="L499" i="1" s="1"/>
  <c r="G500" i="1"/>
  <c r="L500" i="1" s="1"/>
  <c r="G501" i="1"/>
  <c r="L501" i="1" s="1"/>
  <c r="G502" i="1"/>
  <c r="L502" i="1" s="1"/>
  <c r="G503" i="1"/>
  <c r="L503" i="1" s="1"/>
  <c r="G504" i="1"/>
  <c r="L504" i="1" s="1"/>
  <c r="G505" i="1"/>
  <c r="L505" i="1" s="1"/>
  <c r="G506" i="1"/>
  <c r="L506" i="1" s="1"/>
  <c r="G507" i="1"/>
  <c r="L507" i="1" s="1"/>
  <c r="G508" i="1"/>
  <c r="L508" i="1" s="1"/>
  <c r="G509" i="1"/>
  <c r="L509" i="1" s="1"/>
  <c r="G510" i="1"/>
  <c r="L510" i="1" s="1"/>
  <c r="G511" i="1"/>
  <c r="L511" i="1" s="1"/>
  <c r="G512" i="1"/>
  <c r="L512" i="1" s="1"/>
  <c r="G513" i="1"/>
  <c r="L513" i="1" s="1"/>
  <c r="G514" i="1"/>
  <c r="L514" i="1" s="1"/>
  <c r="G515" i="1"/>
  <c r="L515" i="1" s="1"/>
  <c r="G516" i="1"/>
  <c r="L516" i="1" s="1"/>
  <c r="G517" i="1"/>
  <c r="L517" i="1" s="1"/>
  <c r="G518" i="1"/>
  <c r="L518" i="1" s="1"/>
  <c r="G519" i="1"/>
  <c r="L519" i="1" s="1"/>
  <c r="G520" i="1"/>
  <c r="L520" i="1" s="1"/>
  <c r="G521" i="1"/>
  <c r="L521" i="1" s="1"/>
  <c r="G522" i="1"/>
  <c r="L522" i="1" s="1"/>
  <c r="G523" i="1"/>
  <c r="L523" i="1" s="1"/>
  <c r="G524" i="1"/>
  <c r="L524" i="1" s="1"/>
  <c r="G525" i="1"/>
  <c r="L525" i="1" s="1"/>
  <c r="G526" i="1"/>
  <c r="L526" i="1" s="1"/>
  <c r="G527" i="1"/>
  <c r="L527" i="1" s="1"/>
  <c r="G528" i="1"/>
  <c r="L528" i="1" s="1"/>
  <c r="G529" i="1"/>
  <c r="L529" i="1" s="1"/>
  <c r="G530" i="1"/>
  <c r="L530" i="1" s="1"/>
  <c r="G531" i="1"/>
  <c r="L531" i="1" s="1"/>
  <c r="G532" i="1"/>
  <c r="L532" i="1" s="1"/>
  <c r="G533" i="1"/>
  <c r="L533" i="1" s="1"/>
  <c r="G534" i="1"/>
  <c r="L534" i="1" s="1"/>
  <c r="G535" i="1"/>
  <c r="L535" i="1" s="1"/>
  <c r="G536" i="1"/>
  <c r="L536" i="1" s="1"/>
  <c r="G537" i="1"/>
  <c r="L537" i="1" s="1"/>
  <c r="G538" i="1"/>
  <c r="L538" i="1" s="1"/>
  <c r="G539" i="1"/>
  <c r="L539" i="1" s="1"/>
  <c r="G540" i="1"/>
  <c r="L540" i="1" s="1"/>
  <c r="G541" i="1"/>
  <c r="L541" i="1" s="1"/>
  <c r="G542" i="1"/>
  <c r="L542" i="1" s="1"/>
  <c r="G543" i="1"/>
  <c r="L543" i="1" s="1"/>
  <c r="G544" i="1"/>
  <c r="L544" i="1" s="1"/>
  <c r="G545" i="1"/>
  <c r="L545" i="1" s="1"/>
  <c r="G546" i="1"/>
  <c r="L546" i="1" s="1"/>
  <c r="G547" i="1"/>
  <c r="L547" i="1" s="1"/>
  <c r="G548" i="1"/>
  <c r="L548" i="1" s="1"/>
  <c r="G549" i="1"/>
  <c r="L549" i="1" s="1"/>
  <c r="G550" i="1"/>
  <c r="L550" i="1" s="1"/>
  <c r="G551" i="1"/>
  <c r="L551" i="1" s="1"/>
  <c r="G552" i="1"/>
  <c r="L552" i="1" s="1"/>
  <c r="G553" i="1"/>
  <c r="L553" i="1" s="1"/>
  <c r="G554" i="1"/>
  <c r="L554" i="1" s="1"/>
  <c r="G555" i="1"/>
  <c r="L555" i="1" s="1"/>
  <c r="G556" i="1"/>
  <c r="L556" i="1" s="1"/>
  <c r="G557" i="1"/>
  <c r="L557" i="1" s="1"/>
  <c r="G558" i="1"/>
  <c r="L558" i="1" s="1"/>
  <c r="G559" i="1"/>
  <c r="L559" i="1" s="1"/>
  <c r="G560" i="1"/>
  <c r="L560" i="1" s="1"/>
  <c r="G561" i="1"/>
  <c r="L561" i="1" s="1"/>
  <c r="G562" i="1"/>
  <c r="L562" i="1" s="1"/>
  <c r="G563" i="1"/>
  <c r="L563" i="1" s="1"/>
  <c r="G564" i="1"/>
  <c r="L564" i="1" s="1"/>
  <c r="G565" i="1"/>
  <c r="L565" i="1" s="1"/>
  <c r="G566" i="1"/>
  <c r="L566" i="1" s="1"/>
  <c r="G567" i="1"/>
  <c r="L567" i="1" s="1"/>
  <c r="G568" i="1"/>
  <c r="L568" i="1" s="1"/>
  <c r="G569" i="1"/>
  <c r="L569" i="1" s="1"/>
  <c r="G570" i="1"/>
  <c r="L570" i="1" s="1"/>
  <c r="G571" i="1"/>
  <c r="L571" i="1" s="1"/>
  <c r="G572" i="1"/>
  <c r="L572" i="1" s="1"/>
  <c r="G573" i="1"/>
  <c r="L573" i="1" s="1"/>
  <c r="G574" i="1"/>
  <c r="L574" i="1" s="1"/>
  <c r="G575" i="1"/>
  <c r="L575" i="1" s="1"/>
  <c r="G576" i="1"/>
  <c r="L576" i="1" s="1"/>
  <c r="G577" i="1"/>
  <c r="L577" i="1" s="1"/>
  <c r="G578" i="1"/>
  <c r="L578" i="1" s="1"/>
  <c r="G579" i="1"/>
  <c r="L579" i="1" s="1"/>
  <c r="G580" i="1"/>
  <c r="L580" i="1" s="1"/>
  <c r="G581" i="1"/>
  <c r="L581" i="1" s="1"/>
  <c r="G582" i="1"/>
  <c r="L582" i="1" s="1"/>
  <c r="G583" i="1"/>
  <c r="L583" i="1" s="1"/>
  <c r="G584" i="1"/>
  <c r="L584" i="1" s="1"/>
  <c r="G585" i="1"/>
  <c r="L585" i="1" s="1"/>
  <c r="G586" i="1"/>
  <c r="L586" i="1" s="1"/>
  <c r="G587" i="1"/>
  <c r="L587" i="1" s="1"/>
  <c r="G588" i="1"/>
  <c r="L588" i="1" s="1"/>
  <c r="G589" i="1"/>
  <c r="L589" i="1" s="1"/>
  <c r="G590" i="1"/>
  <c r="L590" i="1" s="1"/>
  <c r="G591" i="1"/>
  <c r="L591" i="1" s="1"/>
  <c r="G592" i="1"/>
  <c r="L592" i="1" s="1"/>
  <c r="G593" i="1"/>
  <c r="L593" i="1" s="1"/>
  <c r="G594" i="1"/>
  <c r="L594" i="1" s="1"/>
  <c r="G595" i="1"/>
  <c r="L595" i="1" s="1"/>
  <c r="G596" i="1"/>
  <c r="L596" i="1" s="1"/>
  <c r="G597" i="1"/>
  <c r="L597" i="1" s="1"/>
  <c r="G598" i="1"/>
  <c r="L598" i="1" s="1"/>
  <c r="G599" i="1"/>
  <c r="L599" i="1" s="1"/>
  <c r="G600" i="1"/>
  <c r="L600" i="1" s="1"/>
  <c r="G601" i="1"/>
  <c r="L601" i="1" s="1"/>
  <c r="G602" i="1"/>
  <c r="L602" i="1" s="1"/>
  <c r="G603" i="1"/>
  <c r="L603" i="1" s="1"/>
  <c r="G604" i="1"/>
  <c r="L604" i="1" s="1"/>
  <c r="G605" i="1"/>
  <c r="L605" i="1" s="1"/>
  <c r="G606" i="1"/>
  <c r="L606" i="1" s="1"/>
  <c r="G607" i="1"/>
  <c r="L607" i="1" s="1"/>
  <c r="G608" i="1"/>
  <c r="L608" i="1" s="1"/>
  <c r="G609" i="1"/>
  <c r="L609" i="1" s="1"/>
  <c r="G610" i="1"/>
  <c r="L610" i="1" s="1"/>
  <c r="G611" i="1"/>
  <c r="L611" i="1" s="1"/>
  <c r="G612" i="1"/>
  <c r="L612" i="1" s="1"/>
  <c r="G613" i="1"/>
  <c r="L613" i="1" s="1"/>
  <c r="G614" i="1"/>
  <c r="L614" i="1" s="1"/>
  <c r="G615" i="1"/>
  <c r="L615" i="1" s="1"/>
  <c r="G616" i="1"/>
  <c r="L616" i="1" s="1"/>
  <c r="G617" i="1"/>
  <c r="L617" i="1" s="1"/>
  <c r="G618" i="1"/>
  <c r="L618" i="1" s="1"/>
  <c r="G619" i="1"/>
  <c r="L619" i="1" s="1"/>
  <c r="G620" i="1"/>
  <c r="L620" i="1" s="1"/>
  <c r="G621" i="1"/>
  <c r="L621" i="1" s="1"/>
  <c r="G622" i="1"/>
  <c r="L622" i="1" s="1"/>
  <c r="G623" i="1"/>
  <c r="L623" i="1" s="1"/>
  <c r="G624" i="1"/>
  <c r="L624" i="1" s="1"/>
  <c r="G625" i="1"/>
  <c r="L625" i="1" s="1"/>
  <c r="G626" i="1"/>
  <c r="L626" i="1" s="1"/>
  <c r="G627" i="1"/>
  <c r="L627" i="1" s="1"/>
  <c r="G628" i="1"/>
  <c r="L628" i="1" s="1"/>
  <c r="G629" i="1"/>
  <c r="L629" i="1" s="1"/>
  <c r="G630" i="1"/>
  <c r="L630" i="1" s="1"/>
  <c r="G631" i="1"/>
  <c r="L631" i="1" s="1"/>
  <c r="G632" i="1"/>
  <c r="L632" i="1" s="1"/>
  <c r="G633" i="1"/>
  <c r="L633" i="1" s="1"/>
  <c r="G634" i="1"/>
  <c r="L634" i="1" s="1"/>
  <c r="G635" i="1"/>
  <c r="L635" i="1" s="1"/>
  <c r="G636" i="1"/>
  <c r="L636" i="1" s="1"/>
  <c r="G637" i="1"/>
  <c r="L637" i="1" s="1"/>
  <c r="G638" i="1"/>
  <c r="L638" i="1" s="1"/>
  <c r="G639" i="1"/>
  <c r="L639" i="1" s="1"/>
  <c r="G640" i="1"/>
  <c r="L640" i="1" s="1"/>
  <c r="G641" i="1"/>
  <c r="L641" i="1" s="1"/>
  <c r="G642" i="1"/>
  <c r="L642" i="1" s="1"/>
  <c r="G643" i="1"/>
  <c r="L643" i="1" s="1"/>
  <c r="G644" i="1"/>
  <c r="L644" i="1" s="1"/>
  <c r="G645" i="1"/>
  <c r="L645" i="1" s="1"/>
  <c r="G646" i="1"/>
  <c r="L646" i="1" s="1"/>
  <c r="G647" i="1"/>
  <c r="L647" i="1" s="1"/>
  <c r="G648" i="1"/>
  <c r="L648" i="1" s="1"/>
  <c r="G649" i="1"/>
  <c r="L649" i="1" s="1"/>
  <c r="G650" i="1"/>
  <c r="L650" i="1" s="1"/>
  <c r="G651" i="1"/>
  <c r="L651" i="1" s="1"/>
  <c r="G652" i="1"/>
  <c r="L652" i="1" s="1"/>
  <c r="G653" i="1"/>
  <c r="L653" i="1" s="1"/>
  <c r="G654" i="1"/>
  <c r="L654" i="1" s="1"/>
  <c r="G655" i="1"/>
  <c r="L655" i="1" s="1"/>
  <c r="G656" i="1"/>
  <c r="L656" i="1" s="1"/>
  <c r="G657" i="1"/>
  <c r="L657" i="1" s="1"/>
  <c r="G658" i="1"/>
  <c r="L658" i="1" s="1"/>
  <c r="G659" i="1"/>
  <c r="L659" i="1" s="1"/>
  <c r="G660" i="1"/>
  <c r="L660" i="1" s="1"/>
  <c r="G661" i="1"/>
  <c r="L661" i="1" s="1"/>
  <c r="G662" i="1"/>
  <c r="L662" i="1" s="1"/>
  <c r="G663" i="1"/>
  <c r="L663" i="1" s="1"/>
  <c r="G664" i="1"/>
  <c r="L664" i="1" s="1"/>
  <c r="G665" i="1"/>
  <c r="L665" i="1" s="1"/>
  <c r="G666" i="1"/>
  <c r="L666" i="1" s="1"/>
  <c r="G667" i="1"/>
  <c r="L667" i="1" s="1"/>
  <c r="G668" i="1"/>
  <c r="L668" i="1" s="1"/>
  <c r="G669" i="1"/>
  <c r="L669" i="1" s="1"/>
  <c r="G670" i="1"/>
  <c r="L670" i="1" s="1"/>
  <c r="G671" i="1"/>
  <c r="L671" i="1" s="1"/>
  <c r="G672" i="1"/>
  <c r="L672" i="1" s="1"/>
  <c r="G673" i="1"/>
  <c r="L673" i="1" s="1"/>
  <c r="G674" i="1"/>
  <c r="L674" i="1" s="1"/>
  <c r="G675" i="1"/>
  <c r="L675" i="1" s="1"/>
  <c r="G676" i="1"/>
  <c r="L676" i="1" s="1"/>
  <c r="G677" i="1"/>
  <c r="L677" i="1" s="1"/>
  <c r="G678" i="1"/>
  <c r="L678" i="1" s="1"/>
  <c r="G679" i="1"/>
  <c r="L679" i="1" s="1"/>
  <c r="G680" i="1"/>
  <c r="L680" i="1" s="1"/>
  <c r="G681" i="1"/>
  <c r="L681" i="1" s="1"/>
  <c r="G682" i="1"/>
  <c r="L682" i="1" s="1"/>
  <c r="G683" i="1"/>
  <c r="L683" i="1" s="1"/>
  <c r="G684" i="1"/>
  <c r="L684" i="1" s="1"/>
  <c r="G685" i="1"/>
  <c r="L685" i="1" s="1"/>
  <c r="G686" i="1"/>
  <c r="L686" i="1" s="1"/>
  <c r="G687" i="1"/>
  <c r="L687" i="1" s="1"/>
  <c r="G688" i="1"/>
  <c r="L688" i="1" s="1"/>
  <c r="G689" i="1"/>
  <c r="L689" i="1" s="1"/>
  <c r="G690" i="1"/>
  <c r="L690" i="1" s="1"/>
  <c r="G691" i="1"/>
  <c r="L691" i="1" s="1"/>
  <c r="G692" i="1"/>
  <c r="L692" i="1" s="1"/>
  <c r="G693" i="1"/>
  <c r="L693" i="1" s="1"/>
  <c r="G694" i="1"/>
  <c r="L694" i="1" s="1"/>
  <c r="G695" i="1"/>
  <c r="L695" i="1" s="1"/>
  <c r="G696" i="1"/>
  <c r="L696" i="1" s="1"/>
  <c r="G697" i="1"/>
  <c r="L697" i="1" s="1"/>
  <c r="G698" i="1"/>
  <c r="L698" i="1" s="1"/>
  <c r="G699" i="1"/>
  <c r="L699" i="1" s="1"/>
  <c r="G700" i="1"/>
  <c r="L700" i="1" s="1"/>
  <c r="G701" i="1"/>
  <c r="L701" i="1" s="1"/>
  <c r="G702" i="1"/>
  <c r="L702" i="1" s="1"/>
  <c r="G703" i="1"/>
  <c r="L703" i="1" s="1"/>
  <c r="G704" i="1"/>
  <c r="L704" i="1" s="1"/>
  <c r="G705" i="1"/>
  <c r="L705" i="1" s="1"/>
  <c r="G706" i="1"/>
  <c r="L706" i="1" s="1"/>
  <c r="G707" i="1"/>
  <c r="L707" i="1" s="1"/>
  <c r="G708" i="1"/>
  <c r="L708" i="1" s="1"/>
  <c r="G709" i="1"/>
  <c r="L709" i="1" s="1"/>
  <c r="G710" i="1"/>
  <c r="L710" i="1" s="1"/>
  <c r="G711" i="1"/>
  <c r="L711" i="1" s="1"/>
  <c r="G712" i="1"/>
  <c r="L712" i="1" s="1"/>
  <c r="G713" i="1"/>
  <c r="L713" i="1" s="1"/>
  <c r="G714" i="1"/>
  <c r="L714" i="1" s="1"/>
  <c r="G715" i="1"/>
  <c r="L715" i="1" s="1"/>
  <c r="G716" i="1"/>
  <c r="L716" i="1" s="1"/>
  <c r="G717" i="1"/>
  <c r="L717" i="1" s="1"/>
  <c r="G718" i="1"/>
  <c r="L718" i="1" s="1"/>
  <c r="G719" i="1"/>
  <c r="L719" i="1" s="1"/>
  <c r="G720" i="1"/>
  <c r="L720" i="1" s="1"/>
  <c r="G721" i="1"/>
  <c r="L721" i="1" s="1"/>
  <c r="G722" i="1"/>
  <c r="L722" i="1" s="1"/>
  <c r="G723" i="1"/>
  <c r="L723" i="1" s="1"/>
  <c r="G724" i="1"/>
  <c r="L724" i="1" s="1"/>
  <c r="G725" i="1"/>
  <c r="L725" i="1" s="1"/>
  <c r="G726" i="1"/>
  <c r="L726" i="1" s="1"/>
  <c r="G727" i="1"/>
  <c r="L727" i="1" s="1"/>
  <c r="G728" i="1"/>
  <c r="L728" i="1" s="1"/>
  <c r="G729" i="1"/>
  <c r="L729" i="1" s="1"/>
  <c r="G730" i="1"/>
  <c r="L730" i="1" s="1"/>
  <c r="G731" i="1"/>
  <c r="L731" i="1" s="1"/>
  <c r="G732" i="1"/>
  <c r="L732" i="1" s="1"/>
  <c r="G733" i="1"/>
  <c r="L733" i="1" s="1"/>
  <c r="G734" i="1"/>
  <c r="L734" i="1" s="1"/>
  <c r="G735" i="1"/>
  <c r="L735" i="1" s="1"/>
  <c r="G736" i="1"/>
  <c r="L736" i="1" s="1"/>
  <c r="G737" i="1"/>
  <c r="L737" i="1" s="1"/>
  <c r="G738" i="1"/>
  <c r="L738" i="1" s="1"/>
  <c r="G739" i="1"/>
  <c r="L739" i="1" s="1"/>
  <c r="G740" i="1"/>
  <c r="L740" i="1" s="1"/>
  <c r="G741" i="1"/>
  <c r="L741" i="1" s="1"/>
  <c r="G742" i="1"/>
  <c r="L742" i="1" s="1"/>
  <c r="G743" i="1"/>
  <c r="L743" i="1" s="1"/>
  <c r="G744" i="1"/>
  <c r="L744" i="1" s="1"/>
  <c r="G745" i="1"/>
  <c r="L745" i="1" s="1"/>
  <c r="G746" i="1"/>
  <c r="L746" i="1" s="1"/>
  <c r="G747" i="1"/>
  <c r="L747" i="1" s="1"/>
  <c r="G748" i="1"/>
  <c r="L748" i="1" s="1"/>
  <c r="G749" i="1"/>
  <c r="L749" i="1" s="1"/>
  <c r="G750" i="1"/>
  <c r="L750" i="1" s="1"/>
  <c r="G751" i="1"/>
  <c r="L751" i="1" s="1"/>
  <c r="G752" i="1"/>
  <c r="L752" i="1" s="1"/>
  <c r="G753" i="1"/>
  <c r="L753" i="1" s="1"/>
  <c r="G754" i="1"/>
  <c r="L754" i="1" s="1"/>
  <c r="G755" i="1"/>
  <c r="L755" i="1" s="1"/>
  <c r="G756" i="1"/>
  <c r="L756" i="1" s="1"/>
  <c r="G757" i="1"/>
  <c r="L757" i="1" s="1"/>
  <c r="G758" i="1"/>
  <c r="L758" i="1" s="1"/>
  <c r="G759" i="1"/>
  <c r="L759" i="1" s="1"/>
  <c r="G760" i="1"/>
  <c r="L760" i="1" s="1"/>
  <c r="G761" i="1"/>
  <c r="L761" i="1" s="1"/>
  <c r="G762" i="1"/>
  <c r="L762" i="1" s="1"/>
  <c r="G763" i="1"/>
  <c r="L763" i="1" s="1"/>
  <c r="G764" i="1"/>
  <c r="L764" i="1" s="1"/>
  <c r="G765" i="1"/>
  <c r="L765" i="1" s="1"/>
  <c r="G766" i="1"/>
  <c r="L766" i="1" s="1"/>
  <c r="G767" i="1"/>
  <c r="L767" i="1" s="1"/>
  <c r="G768" i="1"/>
  <c r="L768" i="1" s="1"/>
  <c r="G769" i="1"/>
  <c r="L769" i="1" s="1"/>
  <c r="G770" i="1"/>
  <c r="L770" i="1" s="1"/>
  <c r="G771" i="1"/>
  <c r="L771" i="1" s="1"/>
  <c r="G772" i="1"/>
  <c r="L772" i="1" s="1"/>
  <c r="G773" i="1"/>
  <c r="L773" i="1" s="1"/>
  <c r="G774" i="1"/>
  <c r="L774" i="1" s="1"/>
  <c r="G775" i="1"/>
  <c r="L775" i="1" s="1"/>
  <c r="G776" i="1"/>
  <c r="L776" i="1" s="1"/>
  <c r="G777" i="1"/>
  <c r="L777" i="1" s="1"/>
  <c r="G778" i="1"/>
  <c r="L778" i="1" s="1"/>
  <c r="G779" i="1"/>
  <c r="L779" i="1" s="1"/>
  <c r="G780" i="1"/>
  <c r="L780" i="1" s="1"/>
  <c r="G781" i="1"/>
  <c r="L781" i="1" s="1"/>
  <c r="G782" i="1"/>
  <c r="L782" i="1" s="1"/>
  <c r="G783" i="1"/>
  <c r="L783" i="1" s="1"/>
  <c r="G784" i="1"/>
  <c r="L784" i="1" s="1"/>
  <c r="G785" i="1"/>
  <c r="L785" i="1" s="1"/>
  <c r="G786" i="1"/>
  <c r="L786" i="1" s="1"/>
  <c r="G787" i="1"/>
  <c r="L787" i="1" s="1"/>
  <c r="G788" i="1"/>
  <c r="L788" i="1" s="1"/>
  <c r="G789" i="1"/>
  <c r="L789" i="1" s="1"/>
  <c r="G790" i="1"/>
  <c r="L790" i="1" s="1"/>
  <c r="G791" i="1"/>
  <c r="L791" i="1" s="1"/>
  <c r="G792" i="1"/>
  <c r="L792" i="1" s="1"/>
  <c r="G793" i="1"/>
  <c r="L793" i="1" s="1"/>
  <c r="G794" i="1"/>
  <c r="L794" i="1" s="1"/>
  <c r="G795" i="1"/>
  <c r="L795" i="1" s="1"/>
  <c r="G796" i="1"/>
  <c r="L796" i="1" s="1"/>
  <c r="G797" i="1"/>
  <c r="L797" i="1" s="1"/>
  <c r="G798" i="1"/>
  <c r="L798" i="1" s="1"/>
  <c r="G799" i="1"/>
  <c r="L799" i="1" s="1"/>
  <c r="G800" i="1"/>
  <c r="L800" i="1" s="1"/>
  <c r="G801" i="1"/>
  <c r="L801" i="1" s="1"/>
  <c r="G802" i="1"/>
  <c r="L802" i="1" s="1"/>
  <c r="G803" i="1"/>
  <c r="L803" i="1" s="1"/>
  <c r="G804" i="1"/>
  <c r="L804" i="1" s="1"/>
  <c r="G805" i="1"/>
  <c r="L805" i="1" s="1"/>
  <c r="G806" i="1"/>
  <c r="L806" i="1" s="1"/>
  <c r="G807" i="1"/>
  <c r="L807" i="1" s="1"/>
  <c r="G808" i="1"/>
  <c r="L808" i="1" s="1"/>
  <c r="G809" i="1"/>
  <c r="L809" i="1" s="1"/>
  <c r="G810" i="1"/>
  <c r="L810" i="1" s="1"/>
  <c r="G811" i="1"/>
  <c r="L811" i="1" s="1"/>
  <c r="G812" i="1"/>
  <c r="L812" i="1" s="1"/>
  <c r="G813" i="1"/>
  <c r="L813" i="1" s="1"/>
  <c r="G814" i="1"/>
  <c r="L814" i="1" s="1"/>
  <c r="G815" i="1"/>
  <c r="L815" i="1" s="1"/>
  <c r="G816" i="1"/>
  <c r="L816" i="1" s="1"/>
  <c r="G817" i="1"/>
  <c r="L817" i="1" s="1"/>
  <c r="G818" i="1"/>
  <c r="L818" i="1" s="1"/>
  <c r="G819" i="1"/>
  <c r="L819" i="1" s="1"/>
  <c r="G820" i="1"/>
  <c r="L820" i="1" s="1"/>
  <c r="G821" i="1"/>
  <c r="L821" i="1" s="1"/>
  <c r="G822" i="1"/>
  <c r="L822" i="1" s="1"/>
  <c r="G823" i="1"/>
  <c r="L823" i="1" s="1"/>
  <c r="G824" i="1"/>
  <c r="L824" i="1" s="1"/>
  <c r="G825" i="1"/>
  <c r="L825" i="1" s="1"/>
  <c r="G826" i="1"/>
  <c r="L826" i="1" s="1"/>
  <c r="G827" i="1"/>
  <c r="L827" i="1" s="1"/>
  <c r="G828" i="1"/>
  <c r="L828" i="1" s="1"/>
  <c r="G829" i="1"/>
  <c r="L829" i="1" s="1"/>
  <c r="G830" i="1"/>
  <c r="L830" i="1" s="1"/>
  <c r="G831" i="1"/>
  <c r="L831" i="1" s="1"/>
  <c r="G832" i="1"/>
  <c r="L832" i="1" s="1"/>
  <c r="G833" i="1"/>
  <c r="L833" i="1" s="1"/>
  <c r="G834" i="1"/>
  <c r="L834" i="1" s="1"/>
  <c r="G835" i="1"/>
  <c r="L835" i="1" s="1"/>
  <c r="G836" i="1"/>
  <c r="L836" i="1" s="1"/>
  <c r="G837" i="1"/>
  <c r="L837" i="1" s="1"/>
  <c r="G838" i="1"/>
  <c r="L838" i="1" s="1"/>
  <c r="G839" i="1"/>
  <c r="L839" i="1" s="1"/>
  <c r="G840" i="1"/>
  <c r="L840" i="1" s="1"/>
  <c r="G841" i="1"/>
  <c r="L841" i="1" s="1"/>
  <c r="G842" i="1"/>
  <c r="L842" i="1" s="1"/>
  <c r="G843" i="1"/>
  <c r="L843" i="1" s="1"/>
  <c r="G844" i="1"/>
  <c r="L844" i="1" s="1"/>
  <c r="G845" i="1"/>
  <c r="L845" i="1" s="1"/>
  <c r="G846" i="1"/>
  <c r="L846" i="1" s="1"/>
  <c r="G847" i="1"/>
  <c r="L847" i="1" s="1"/>
  <c r="G848" i="1"/>
  <c r="L848" i="1" s="1"/>
  <c r="G849" i="1"/>
  <c r="L849" i="1" s="1"/>
  <c r="G850" i="1"/>
  <c r="L850" i="1" s="1"/>
  <c r="G851" i="1"/>
  <c r="L851" i="1" s="1"/>
  <c r="G852" i="1"/>
  <c r="L852" i="1" s="1"/>
  <c r="G853" i="1"/>
  <c r="L853" i="1" s="1"/>
  <c r="G854" i="1"/>
  <c r="L854" i="1" s="1"/>
  <c r="G855" i="1"/>
  <c r="L855" i="1" s="1"/>
  <c r="G856" i="1"/>
  <c r="L856" i="1" s="1"/>
  <c r="G857" i="1"/>
  <c r="L857" i="1" s="1"/>
  <c r="G858" i="1"/>
  <c r="L858" i="1" s="1"/>
  <c r="G859" i="1"/>
  <c r="L859" i="1" s="1"/>
  <c r="G860" i="1"/>
  <c r="L860" i="1" s="1"/>
  <c r="G861" i="1"/>
  <c r="L861" i="1" s="1"/>
  <c r="G862" i="1"/>
  <c r="L862" i="1" s="1"/>
  <c r="G863" i="1"/>
  <c r="L863" i="1" s="1"/>
  <c r="G864" i="1"/>
  <c r="L864" i="1" s="1"/>
  <c r="G865" i="1"/>
  <c r="L865" i="1" s="1"/>
  <c r="G866" i="1"/>
  <c r="L866" i="1" s="1"/>
  <c r="G867" i="1"/>
  <c r="L867" i="1" s="1"/>
  <c r="G868" i="1"/>
  <c r="L868" i="1" s="1"/>
  <c r="G869" i="1"/>
  <c r="L869" i="1" s="1"/>
  <c r="G870" i="1"/>
  <c r="L870" i="1" s="1"/>
  <c r="G871" i="1"/>
  <c r="L871" i="1" s="1"/>
  <c r="G872" i="1"/>
  <c r="L872" i="1" s="1"/>
  <c r="G873" i="1"/>
  <c r="L873" i="1" s="1"/>
  <c r="G874" i="1"/>
  <c r="L874" i="1" s="1"/>
  <c r="G875" i="1"/>
  <c r="L875" i="1" s="1"/>
  <c r="G876" i="1"/>
  <c r="L876" i="1" s="1"/>
  <c r="G877" i="1"/>
  <c r="L877" i="1" s="1"/>
  <c r="G878" i="1"/>
  <c r="L878" i="1" s="1"/>
  <c r="G879" i="1"/>
  <c r="L879" i="1" s="1"/>
  <c r="G880" i="1"/>
  <c r="L880" i="1" s="1"/>
  <c r="G881" i="1"/>
  <c r="L881" i="1" s="1"/>
  <c r="G882" i="1"/>
  <c r="L882" i="1" s="1"/>
  <c r="G883" i="1"/>
  <c r="L883" i="1" s="1"/>
  <c r="G884" i="1"/>
  <c r="L884" i="1" s="1"/>
  <c r="G885" i="1"/>
  <c r="L885" i="1" s="1"/>
  <c r="G886" i="1"/>
  <c r="L886" i="1" s="1"/>
  <c r="G887" i="1"/>
  <c r="L887" i="1" s="1"/>
  <c r="G888" i="1"/>
  <c r="L888" i="1" s="1"/>
  <c r="G889" i="1"/>
  <c r="L889" i="1" s="1"/>
  <c r="G890" i="1"/>
  <c r="L890" i="1" s="1"/>
  <c r="G891" i="1"/>
  <c r="L891" i="1" s="1"/>
  <c r="G892" i="1"/>
  <c r="L892" i="1" s="1"/>
  <c r="G893" i="1"/>
  <c r="L893" i="1" s="1"/>
  <c r="G894" i="1"/>
  <c r="L894" i="1" s="1"/>
  <c r="G895" i="1"/>
  <c r="L895" i="1" s="1"/>
  <c r="G896" i="1"/>
  <c r="L896" i="1" s="1"/>
  <c r="G897" i="1"/>
  <c r="L897" i="1" s="1"/>
  <c r="G898" i="1"/>
  <c r="L898" i="1" s="1"/>
  <c r="G899" i="1"/>
  <c r="L899" i="1" s="1"/>
  <c r="G900" i="1"/>
  <c r="L900" i="1" s="1"/>
  <c r="G901" i="1"/>
  <c r="L901" i="1" s="1"/>
  <c r="G902" i="1"/>
  <c r="L902" i="1" s="1"/>
  <c r="G903" i="1"/>
  <c r="L903" i="1" s="1"/>
  <c r="G904" i="1"/>
  <c r="L904" i="1" s="1"/>
  <c r="G905" i="1"/>
  <c r="L905" i="1" s="1"/>
  <c r="G906" i="1"/>
  <c r="L906" i="1" s="1"/>
  <c r="G907" i="1"/>
  <c r="L907" i="1" s="1"/>
  <c r="G908" i="1"/>
  <c r="L908" i="1" s="1"/>
  <c r="G909" i="1"/>
  <c r="L909" i="1" s="1"/>
  <c r="G910" i="1"/>
  <c r="L910" i="1" s="1"/>
  <c r="G911" i="1"/>
  <c r="L911" i="1" s="1"/>
  <c r="G912" i="1"/>
  <c r="L912" i="1" s="1"/>
  <c r="G913" i="1"/>
  <c r="L913" i="1" s="1"/>
  <c r="G914" i="1"/>
  <c r="L914" i="1" s="1"/>
  <c r="G915" i="1"/>
  <c r="L915" i="1" s="1"/>
  <c r="G916" i="1"/>
  <c r="L916" i="1" s="1"/>
  <c r="G917" i="1"/>
  <c r="L917" i="1" s="1"/>
  <c r="G918" i="1"/>
  <c r="L918" i="1" s="1"/>
  <c r="G919" i="1"/>
  <c r="L919" i="1" s="1"/>
  <c r="G920" i="1"/>
  <c r="L920" i="1" s="1"/>
  <c r="G921" i="1"/>
  <c r="L921" i="1" s="1"/>
  <c r="G922" i="1"/>
  <c r="L922" i="1" s="1"/>
  <c r="G923" i="1"/>
  <c r="L923" i="1" s="1"/>
  <c r="G924" i="1"/>
  <c r="L924" i="1" s="1"/>
  <c r="G925" i="1"/>
  <c r="L925" i="1" s="1"/>
  <c r="G926" i="1"/>
  <c r="L926" i="1" s="1"/>
  <c r="G927" i="1"/>
  <c r="L927" i="1" s="1"/>
  <c r="G928" i="1"/>
  <c r="L928" i="1" s="1"/>
  <c r="G929" i="1"/>
  <c r="L929" i="1" s="1"/>
  <c r="G930" i="1"/>
  <c r="L930" i="1" s="1"/>
  <c r="G931" i="1"/>
  <c r="L931" i="1" s="1"/>
  <c r="G932" i="1"/>
  <c r="L932" i="1" s="1"/>
  <c r="G933" i="1"/>
  <c r="L933" i="1" s="1"/>
  <c r="G934" i="1"/>
  <c r="L934" i="1" s="1"/>
  <c r="G935" i="1"/>
  <c r="L935" i="1" s="1"/>
  <c r="G936" i="1"/>
  <c r="L936" i="1" s="1"/>
  <c r="G937" i="1"/>
  <c r="L937" i="1" s="1"/>
  <c r="G938" i="1"/>
  <c r="L938" i="1" s="1"/>
  <c r="G939" i="1"/>
  <c r="L939" i="1" s="1"/>
  <c r="G940" i="1"/>
  <c r="L940" i="1" s="1"/>
  <c r="G941" i="1"/>
  <c r="L941" i="1" s="1"/>
  <c r="G942" i="1"/>
  <c r="L942" i="1" s="1"/>
  <c r="G943" i="1"/>
  <c r="L943" i="1" s="1"/>
  <c r="G944" i="1"/>
  <c r="L944" i="1" s="1"/>
  <c r="G945" i="1"/>
  <c r="L945" i="1" s="1"/>
  <c r="G946" i="1"/>
  <c r="L946" i="1" s="1"/>
  <c r="G947" i="1"/>
  <c r="L947" i="1" s="1"/>
  <c r="G948" i="1"/>
  <c r="L948" i="1" s="1"/>
  <c r="G949" i="1"/>
  <c r="L949" i="1" s="1"/>
  <c r="G950" i="1"/>
  <c r="L950" i="1" s="1"/>
  <c r="G951" i="1"/>
  <c r="L951" i="1" s="1"/>
  <c r="G952" i="1"/>
  <c r="L952" i="1" s="1"/>
  <c r="G953" i="1"/>
  <c r="L953" i="1" s="1"/>
  <c r="G954" i="1"/>
  <c r="L954" i="1" s="1"/>
  <c r="G955" i="1"/>
  <c r="L955" i="1" s="1"/>
  <c r="G956" i="1"/>
  <c r="L956" i="1" s="1"/>
  <c r="G957" i="1"/>
  <c r="L957" i="1" s="1"/>
  <c r="G958" i="1"/>
  <c r="L958" i="1" s="1"/>
  <c r="G959" i="1"/>
  <c r="L959" i="1" s="1"/>
  <c r="G960" i="1"/>
  <c r="L960" i="1" s="1"/>
  <c r="G961" i="1"/>
  <c r="L961" i="1" s="1"/>
  <c r="G962" i="1"/>
  <c r="L962" i="1" s="1"/>
  <c r="G963" i="1"/>
  <c r="L963" i="1" s="1"/>
  <c r="G964" i="1"/>
  <c r="L964" i="1" s="1"/>
  <c r="G965" i="1"/>
  <c r="L965" i="1" s="1"/>
  <c r="G966" i="1"/>
  <c r="L966" i="1" s="1"/>
  <c r="G967" i="1"/>
  <c r="L967" i="1" s="1"/>
  <c r="G968" i="1"/>
  <c r="L968" i="1" s="1"/>
  <c r="G969" i="1"/>
  <c r="L969" i="1" s="1"/>
  <c r="G970" i="1"/>
  <c r="L970" i="1" s="1"/>
  <c r="G971" i="1"/>
  <c r="L971" i="1" s="1"/>
  <c r="G972" i="1"/>
  <c r="L972" i="1" s="1"/>
  <c r="G973" i="1"/>
  <c r="L973" i="1" s="1"/>
  <c r="G974" i="1"/>
  <c r="L974" i="1" s="1"/>
  <c r="G975" i="1"/>
  <c r="L975" i="1" s="1"/>
  <c r="G976" i="1"/>
  <c r="L976" i="1" s="1"/>
  <c r="G977" i="1"/>
  <c r="L977" i="1" s="1"/>
  <c r="G978" i="1"/>
  <c r="L978" i="1" s="1"/>
  <c r="G979" i="1"/>
  <c r="L979" i="1" s="1"/>
  <c r="G980" i="1"/>
  <c r="L980" i="1" s="1"/>
  <c r="G981" i="1"/>
  <c r="L981" i="1" s="1"/>
  <c r="G982" i="1"/>
  <c r="L982" i="1" s="1"/>
  <c r="G983" i="1"/>
  <c r="L983" i="1" s="1"/>
  <c r="G984" i="1"/>
  <c r="L984" i="1" s="1"/>
  <c r="G985" i="1"/>
  <c r="L985" i="1" s="1"/>
  <c r="G986" i="1"/>
  <c r="L986" i="1" s="1"/>
  <c r="G987" i="1"/>
  <c r="L987" i="1" s="1"/>
  <c r="G988" i="1"/>
  <c r="L988" i="1" s="1"/>
  <c r="G989" i="1"/>
  <c r="L989" i="1" s="1"/>
  <c r="G990" i="1"/>
  <c r="L990" i="1" s="1"/>
  <c r="G991" i="1"/>
  <c r="L991" i="1" s="1"/>
  <c r="G992" i="1"/>
  <c r="L992" i="1" s="1"/>
  <c r="G993" i="1"/>
  <c r="L993" i="1" s="1"/>
  <c r="G994" i="1"/>
  <c r="L994" i="1" s="1"/>
  <c r="G995" i="1"/>
  <c r="L995" i="1" s="1"/>
  <c r="G996" i="1"/>
  <c r="L996" i="1" s="1"/>
  <c r="G997" i="1"/>
  <c r="L997" i="1" s="1"/>
  <c r="G998" i="1"/>
  <c r="L998" i="1" s="1"/>
  <c r="G999" i="1"/>
  <c r="L999" i="1" s="1"/>
  <c r="G1000" i="1"/>
  <c r="L1000" i="1" s="1"/>
  <c r="G1001" i="1"/>
  <c r="L1001" i="1" s="1"/>
  <c r="G1002" i="1"/>
  <c r="L1002" i="1" s="1"/>
  <c r="G1003" i="1"/>
  <c r="L1003" i="1" s="1"/>
  <c r="G4" i="1"/>
  <c r="G5" i="1"/>
  <c r="L5" i="1" s="1"/>
  <c r="G7" i="1"/>
  <c r="L7" i="1" s="1"/>
  <c r="L4" i="1" l="1"/>
  <c r="E9" i="2"/>
  <c r="E6" i="2"/>
  <c r="E7" i="2"/>
  <c r="E8" i="2"/>
  <c r="C10" i="2"/>
  <c r="D10" i="2"/>
  <c r="E10"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3" authorId="0" shapeId="0" xr:uid="{B8E01108-B35F-F74B-9F23-0EDA487F7FA8}">
      <text>
        <r>
          <rPr>
            <sz val="8"/>
            <color rgb="FF000000"/>
            <rFont val="Tahoma"/>
            <family val="2"/>
          </rPr>
          <t>SORTEO PARA CLIENTES MIEMBOS Y COMPRAS MAYORES A 30 EUROS.</t>
        </r>
      </text>
    </comment>
  </commentList>
</comments>
</file>

<file path=xl/sharedStrings.xml><?xml version="1.0" encoding="utf-8"?>
<sst xmlns="http://schemas.openxmlformats.org/spreadsheetml/2006/main" count="5037" uniqueCount="880">
  <si>
    <t>VENTAS SUPERMERCADO 2019</t>
  </si>
  <si>
    <t xml:space="preserve"> FACTURA ID / INVOICE ID</t>
  </si>
  <si>
    <t>SUCURSAL</t>
  </si>
  <si>
    <t>TIPO DE CLIENTE/ Customer type</t>
  </si>
  <si>
    <t>LINEA DE PRODUCTO/ Product line</t>
  </si>
  <si>
    <t>PRECIO UNITARIO/ Unit price (USD)</t>
  </si>
  <si>
    <t>CANTIDAD/ Quantity</t>
  </si>
  <si>
    <t>VENTA TOTAL</t>
  </si>
  <si>
    <t>FECHA/ Date</t>
  </si>
  <si>
    <t>Time</t>
  </si>
  <si>
    <t>PAGO/ Payment</t>
  </si>
  <si>
    <t>Rating</t>
  </si>
  <si>
    <t>Valencia</t>
  </si>
  <si>
    <t>Member</t>
  </si>
  <si>
    <t>Sports and travel</t>
  </si>
  <si>
    <t>Credit card</t>
  </si>
  <si>
    <t>Madrid</t>
  </si>
  <si>
    <t>Ewallet</t>
  </si>
  <si>
    <t>Normal</t>
  </si>
  <si>
    <t>Barcelona</t>
  </si>
  <si>
    <t>Health and beauty</t>
  </si>
  <si>
    <t>Electronic accessories</t>
  </si>
  <si>
    <t>Fashion accessories</t>
  </si>
  <si>
    <t>Cash</t>
  </si>
  <si>
    <t>Food and beverages</t>
  </si>
  <si>
    <t>Home and lifestyle</t>
  </si>
  <si>
    <t xml:space="preserve">Estadistica descriptiva </t>
  </si>
  <si>
    <t>LINEA DE PRODUCTO</t>
  </si>
  <si>
    <t>PRECIO UNITARIO</t>
  </si>
  <si>
    <t>CANTIDAD</t>
  </si>
  <si>
    <t>Cantidad</t>
  </si>
  <si>
    <t>Precio unitario</t>
  </si>
  <si>
    <t xml:space="preserve">Ventas totales </t>
  </si>
  <si>
    <t>Mediana</t>
  </si>
  <si>
    <t>Minimo</t>
  </si>
  <si>
    <t>Maximo</t>
  </si>
  <si>
    <t>Rango</t>
  </si>
  <si>
    <t>MADRID</t>
  </si>
  <si>
    <t>Etiquetas de fila</t>
  </si>
  <si>
    <t>Total general</t>
  </si>
  <si>
    <t>BARCELONA</t>
  </si>
  <si>
    <t>10</t>
  </si>
  <si>
    <t>11</t>
  </si>
  <si>
    <t>12</t>
  </si>
  <si>
    <t>13</t>
  </si>
  <si>
    <t>14</t>
  </si>
  <si>
    <t>15</t>
  </si>
  <si>
    <t>16</t>
  </si>
  <si>
    <t>17</t>
  </si>
  <si>
    <t>18</t>
  </si>
  <si>
    <t>19</t>
  </si>
  <si>
    <t>20</t>
  </si>
  <si>
    <t>ene</t>
  </si>
  <si>
    <t>feb</t>
  </si>
  <si>
    <t>mar</t>
  </si>
  <si>
    <t>abr</t>
  </si>
  <si>
    <t>may</t>
  </si>
  <si>
    <t>jun</t>
  </si>
  <si>
    <t>ago</t>
  </si>
  <si>
    <t>sep</t>
  </si>
  <si>
    <t>oct</t>
  </si>
  <si>
    <t>nov</t>
  </si>
  <si>
    <t>dic</t>
  </si>
  <si>
    <t>Cantidades</t>
  </si>
  <si>
    <t>Meses</t>
  </si>
  <si>
    <t>Sucursales/ medios de pago</t>
  </si>
  <si>
    <t>Clientes</t>
  </si>
  <si>
    <t xml:space="preserve">Horas </t>
  </si>
  <si>
    <t>Ventas totales</t>
  </si>
  <si>
    <t>Sucursales</t>
  </si>
  <si>
    <t>Precios Unitarios (USD)</t>
  </si>
  <si>
    <t xml:space="preserve">Precios Unitarios </t>
  </si>
  <si>
    <t>Precios unitarios</t>
  </si>
  <si>
    <t>Población censal</t>
  </si>
  <si>
    <t>Municipios</t>
  </si>
  <si>
    <t>Total</t>
  </si>
  <si>
    <t>TOTAL PROVINCIAL</t>
  </si>
  <si>
    <t>Abrera</t>
  </si>
  <si>
    <t>Aguilar de Segarra</t>
  </si>
  <si>
    <t>Aiguafreda</t>
  </si>
  <si>
    <t>Alella</t>
  </si>
  <si>
    <t>Alpens</t>
  </si>
  <si>
    <t>Ametlla del Vallès (L')</t>
  </si>
  <si>
    <t>Arenys de Mar</t>
  </si>
  <si>
    <t>Arenys de Munt</t>
  </si>
  <si>
    <t>Argençola</t>
  </si>
  <si>
    <t>Argentona</t>
  </si>
  <si>
    <t>Artés</t>
  </si>
  <si>
    <t>Avià</t>
  </si>
  <si>
    <t>Avinyó</t>
  </si>
  <si>
    <t>Avinyonet del Penedès</t>
  </si>
  <si>
    <t>Badalona</t>
  </si>
  <si>
    <t>Badia del Vallès</t>
  </si>
  <si>
    <t>Bagà</t>
  </si>
  <si>
    <t>Balenyà</t>
  </si>
  <si>
    <t>Balsareny</t>
  </si>
  <si>
    <t>Barberà del Vallès</t>
  </si>
  <si>
    <t>Begues</t>
  </si>
  <si>
    <t>Bellprat</t>
  </si>
  <si>
    <t>Berga</t>
  </si>
  <si>
    <t>Bigues i Riells</t>
  </si>
  <si>
    <t>Borredà</t>
  </si>
  <si>
    <t>Bruc (El)</t>
  </si>
  <si>
    <t>Brull (El)</t>
  </si>
  <si>
    <t>Cabanyes (Les)</t>
  </si>
  <si>
    <t>Cabrera de Mar</t>
  </si>
  <si>
    <t>Cabrera d'Igualada</t>
  </si>
  <si>
    <t>Cabrils</t>
  </si>
  <si>
    <t>Calaf</t>
  </si>
  <si>
    <t>Calders</t>
  </si>
  <si>
    <t>Caldes de Montbui</t>
  </si>
  <si>
    <t>Caldes d'Estrac</t>
  </si>
  <si>
    <t>Calella</t>
  </si>
  <si>
    <t>Calldetenes</t>
  </si>
  <si>
    <t>Callús</t>
  </si>
  <si>
    <t>Calonge de Segarra</t>
  </si>
  <si>
    <t>Campins</t>
  </si>
  <si>
    <t>Canet de Mar</t>
  </si>
  <si>
    <t>Canovelles</t>
  </si>
  <si>
    <t>Cànoves i Samalús</t>
  </si>
  <si>
    <t>Canyelles</t>
  </si>
  <si>
    <t>Capellades</t>
  </si>
  <si>
    <t>Capolat</t>
  </si>
  <si>
    <t>Cardedeu</t>
  </si>
  <si>
    <t>Cardona</t>
  </si>
  <si>
    <t>Carme</t>
  </si>
  <si>
    <t>Casserres</t>
  </si>
  <si>
    <t>Castell de l'Areny</t>
  </si>
  <si>
    <t>Castellar de n'Hug</t>
  </si>
  <si>
    <t>Castellar del Riu</t>
  </si>
  <si>
    <t>Castellar del Vallès</t>
  </si>
  <si>
    <t>Castellbell i el Vilar</t>
  </si>
  <si>
    <t>Castellbisbal</t>
  </si>
  <si>
    <t>Castellcir</t>
  </si>
  <si>
    <t>Castelldefels</t>
  </si>
  <si>
    <t>Castellet i la Gornal</t>
  </si>
  <si>
    <t>Castellfollit de Riubregós</t>
  </si>
  <si>
    <t>Castellfollit del Boix</t>
  </si>
  <si>
    <t>Castellgalí</t>
  </si>
  <si>
    <t>Castellnou de Bages</t>
  </si>
  <si>
    <t>Castellolí</t>
  </si>
  <si>
    <t>Castellterçol</t>
  </si>
  <si>
    <t>Castellví de la Marca</t>
  </si>
  <si>
    <t>Castellví de Rosanes</t>
  </si>
  <si>
    <t>Centelles</t>
  </si>
  <si>
    <t>Cercs</t>
  </si>
  <si>
    <t>Cerdanyola del Vallès</t>
  </si>
  <si>
    <t>Cervelló</t>
  </si>
  <si>
    <t>Collbató</t>
  </si>
  <si>
    <t>Collsuspina</t>
  </si>
  <si>
    <t>Copons</t>
  </si>
  <si>
    <t>Corbera de Llobregat</t>
  </si>
  <si>
    <t>Cornellà de Llobregat</t>
  </si>
  <si>
    <t>Cubelles</t>
  </si>
  <si>
    <t>Dosrius</t>
  </si>
  <si>
    <t>Esparreguera</t>
  </si>
  <si>
    <t>Esplugues de Llobregat</t>
  </si>
  <si>
    <t>Espunyola (L')</t>
  </si>
  <si>
    <t>Estany (L')</t>
  </si>
  <si>
    <t>Figaró-Montmany</t>
  </si>
  <si>
    <t>Fígols</t>
  </si>
  <si>
    <t>Fogars de la Selva</t>
  </si>
  <si>
    <t>Fogars de Montclús</t>
  </si>
  <si>
    <t>Folgueroles</t>
  </si>
  <si>
    <t>Fonollosa</t>
  </si>
  <si>
    <t>Font-rubí</t>
  </si>
  <si>
    <t>Franqueses del Vallès (Les)</t>
  </si>
  <si>
    <t>Gaià</t>
  </si>
  <si>
    <t>Gallifa</t>
  </si>
  <si>
    <t>Garriga (La)</t>
  </si>
  <si>
    <t>Gavà</t>
  </si>
  <si>
    <t>Gelida</t>
  </si>
  <si>
    <t>Gironella</t>
  </si>
  <si>
    <t>Gisclareny</t>
  </si>
  <si>
    <t>Granada (La)</t>
  </si>
  <si>
    <t>Granera</t>
  </si>
  <si>
    <t>Granollers</t>
  </si>
  <si>
    <t>Gualba</t>
  </si>
  <si>
    <t>Guardiola de Berguedà</t>
  </si>
  <si>
    <t>Gurb</t>
  </si>
  <si>
    <t>Hospitalet de Llobregat (L')</t>
  </si>
  <si>
    <t>Hostalets de Pierola (Els)</t>
  </si>
  <si>
    <t>Igualada</t>
  </si>
  <si>
    <t>Jorba</t>
  </si>
  <si>
    <t>Llacuna (La)</t>
  </si>
  <si>
    <t>Llagosta (La)</t>
  </si>
  <si>
    <t>Lliçà d'Amunt</t>
  </si>
  <si>
    <t>Lliçà de Vall</t>
  </si>
  <si>
    <t>Llinars del Vallès</t>
  </si>
  <si>
    <t>Lluçà</t>
  </si>
  <si>
    <t>Malgrat de Mar</t>
  </si>
  <si>
    <t>Malla</t>
  </si>
  <si>
    <t>Manlleu</t>
  </si>
  <si>
    <t>Manresa</t>
  </si>
  <si>
    <t>Marganell</t>
  </si>
  <si>
    <t>Martorell</t>
  </si>
  <si>
    <t>Martorelles</t>
  </si>
  <si>
    <t>Masies de Roda (Les)</t>
  </si>
  <si>
    <t>Masies de Voltregà (Les)</t>
  </si>
  <si>
    <t>Masnou (El)</t>
  </si>
  <si>
    <t>Masquefa</t>
  </si>
  <si>
    <t>Matadepera</t>
  </si>
  <si>
    <t>Mataró</t>
  </si>
  <si>
    <t>Mediona</t>
  </si>
  <si>
    <t>Moià</t>
  </si>
  <si>
    <t>Molins de Rei</t>
  </si>
  <si>
    <t>Mollet del Vallès</t>
  </si>
  <si>
    <t>Monistrol de Calders</t>
  </si>
  <si>
    <t>Monistrol de Montserrat</t>
  </si>
  <si>
    <t>Montcada i Reixac</t>
  </si>
  <si>
    <t>Montclar</t>
  </si>
  <si>
    <t>Montesquiu</t>
  </si>
  <si>
    <t>Montgat</t>
  </si>
  <si>
    <t>Montmajor</t>
  </si>
  <si>
    <t>Montmaneu</t>
  </si>
  <si>
    <t>Montmeló</t>
  </si>
  <si>
    <t>Montornès del Vallès</t>
  </si>
  <si>
    <t>Montseny</t>
  </si>
  <si>
    <t>Muntanyola</t>
  </si>
  <si>
    <t>Mura</t>
  </si>
  <si>
    <t>Navarcles</t>
  </si>
  <si>
    <t>Navàs</t>
  </si>
  <si>
    <t>Nou de Berguedà (La)</t>
  </si>
  <si>
    <t>Òdena</t>
  </si>
  <si>
    <t>Olèrdola</t>
  </si>
  <si>
    <t>Olesa de Bonesvalls</t>
  </si>
  <si>
    <t>Olesa de Montserrat</t>
  </si>
  <si>
    <t>Olivella</t>
  </si>
  <si>
    <t>Olost</t>
  </si>
  <si>
    <t>Olvan</t>
  </si>
  <si>
    <t>Orís</t>
  </si>
  <si>
    <t>Oristà</t>
  </si>
  <si>
    <t>Orpí</t>
  </si>
  <si>
    <t>Òrrius</t>
  </si>
  <si>
    <t>Pacs del Penedès</t>
  </si>
  <si>
    <t>Palafolls</t>
  </si>
  <si>
    <t>Palau-solità i Plegamans</t>
  </si>
  <si>
    <t>Pallejà</t>
  </si>
  <si>
    <t>Palma de Cervelló (La)</t>
  </si>
  <si>
    <t>Papiol (El)</t>
  </si>
  <si>
    <t>Parets del Vallès</t>
  </si>
  <si>
    <t>Perafita</t>
  </si>
  <si>
    <t>Piera</t>
  </si>
  <si>
    <t>Pineda de Mar</t>
  </si>
  <si>
    <t>Pla del Penedès (El)</t>
  </si>
  <si>
    <t>Pobla de Claramunt (La)</t>
  </si>
  <si>
    <t>Pobla de Lillet (La)</t>
  </si>
  <si>
    <t>Polinyà</t>
  </si>
  <si>
    <t>Pont de Vilomara i Rocafort (El)</t>
  </si>
  <si>
    <t>Pontons</t>
  </si>
  <si>
    <t>Prat de Llobregat (El)</t>
  </si>
  <si>
    <t>Prats de Lluçanès</t>
  </si>
  <si>
    <t>Prats de Rei (Els)</t>
  </si>
  <si>
    <t>Premià de Dalt</t>
  </si>
  <si>
    <t>Premià de Mar</t>
  </si>
  <si>
    <t>Puigdàlber</t>
  </si>
  <si>
    <t>Puig-reig</t>
  </si>
  <si>
    <t>Pujalt</t>
  </si>
  <si>
    <t>Quar (La)</t>
  </si>
  <si>
    <t>Rajadell</t>
  </si>
  <si>
    <t>Rellinars</t>
  </si>
  <si>
    <t>Ripollet</t>
  </si>
  <si>
    <t>Roca del Vallès (La)</t>
  </si>
  <si>
    <t>Roda de Ter</t>
  </si>
  <si>
    <t>Rubí</t>
  </si>
  <si>
    <t>Rubió</t>
  </si>
  <si>
    <t>Rupit i Pruit</t>
  </si>
  <si>
    <t>Sabadell</t>
  </si>
  <si>
    <t>Sagàs</t>
  </si>
  <si>
    <t>Saldes</t>
  </si>
  <si>
    <t>Sallent</t>
  </si>
  <si>
    <t>Sant Adrià de Besòs</t>
  </si>
  <si>
    <t>Sant Agustí de Lluçanès</t>
  </si>
  <si>
    <t>Sant Andreu de la Barca</t>
  </si>
  <si>
    <t>Sant Andreu de Llavaneres</t>
  </si>
  <si>
    <t>Sant Antoni de Vilamajor</t>
  </si>
  <si>
    <t>Sant Bartomeu del Grau</t>
  </si>
  <si>
    <t>Sant Boi de Llobregat</t>
  </si>
  <si>
    <t>Sant Boi de Lluçanès</t>
  </si>
  <si>
    <t>Sant Cebrià de Vallalta</t>
  </si>
  <si>
    <t>Sant Celoni</t>
  </si>
  <si>
    <t>Sant Climent de Llobregat</t>
  </si>
  <si>
    <t>Sant Cugat del Vallès</t>
  </si>
  <si>
    <t>Sant Cugat Sesgarrigues</t>
  </si>
  <si>
    <t>Sant Esteve de Palautordera</t>
  </si>
  <si>
    <t>Sant Esteve Sesrovires</t>
  </si>
  <si>
    <t>Sant Feliu de Codines</t>
  </si>
  <si>
    <t>Sant Feliu de Llobregat</t>
  </si>
  <si>
    <t>Sant Feliu Sasserra</t>
  </si>
  <si>
    <t>Sant Fost de Campsentelles</t>
  </si>
  <si>
    <t>Sant Fruitós de Bages</t>
  </si>
  <si>
    <t>Sant Hipòlit de Voltregà</t>
  </si>
  <si>
    <t>Sant Iscle de Vallalta</t>
  </si>
  <si>
    <t>Sant Jaume de Frontanyà</t>
  </si>
  <si>
    <t>Sant Joan de Vilatorrada</t>
  </si>
  <si>
    <t>Sant Joan Despí</t>
  </si>
  <si>
    <t>Sant Julià de Cerdanyola</t>
  </si>
  <si>
    <t>Sant Julià de Vilatorta</t>
  </si>
  <si>
    <t>Sant Just Desvern</t>
  </si>
  <si>
    <t>Sant Llorenç d'Hortons</t>
  </si>
  <si>
    <t>Sant Llorenç Savall</t>
  </si>
  <si>
    <t>Sant Martí d'Albars</t>
  </si>
  <si>
    <t>Sant Martí de Centelles</t>
  </si>
  <si>
    <t>Sant Martí de Tous</t>
  </si>
  <si>
    <t>Sant Martí Sarroca</t>
  </si>
  <si>
    <t>Sant Martí Sesgueioles</t>
  </si>
  <si>
    <t>Sant Mateu de Bages</t>
  </si>
  <si>
    <t>Sant Pere de Ribes</t>
  </si>
  <si>
    <t>Sant Pere de Riudebitlles</t>
  </si>
  <si>
    <t>Sant Pere de Torelló</t>
  </si>
  <si>
    <t>Sant Pere de Vilamajor</t>
  </si>
  <si>
    <t>Sant Pere Sallavinera</t>
  </si>
  <si>
    <t>Sant Pol de Mar</t>
  </si>
  <si>
    <t>Sant Quintí de Mediona</t>
  </si>
  <si>
    <t>Sant Quirze de Besora</t>
  </si>
  <si>
    <t>Sant Quirze del Vallès</t>
  </si>
  <si>
    <t>Sant Quirze Safaja</t>
  </si>
  <si>
    <t>Sant Sadurní d'Anoia</t>
  </si>
  <si>
    <t>Sant Sadurní d'Osormort</t>
  </si>
  <si>
    <t>Sant Salvador de Guardiola</t>
  </si>
  <si>
    <t>Sant Vicenç de Castellet</t>
  </si>
  <si>
    <t>Sant Vicenç de Montalt</t>
  </si>
  <si>
    <t>Sant Vicenç de Torelló</t>
  </si>
  <si>
    <t>Sant Vicenç dels Horts</t>
  </si>
  <si>
    <t>Santa Cecília de Voltregà</t>
  </si>
  <si>
    <t>Santa Coloma de Cervelló</t>
  </si>
  <si>
    <t>Santa Coloma de Gramenet</t>
  </si>
  <si>
    <t>Santa Eugènia de Berga</t>
  </si>
  <si>
    <t>Santa Eulàlia de Riuprimer</t>
  </si>
  <si>
    <t>Santa Eulàlia de Ronçana</t>
  </si>
  <si>
    <t>Santa Fe del Penedès</t>
  </si>
  <si>
    <t>Santa Margarida de Montbui</t>
  </si>
  <si>
    <t>Santa Margarida i els Monjos</t>
  </si>
  <si>
    <t>Santa Maria de Besora</t>
  </si>
  <si>
    <t>Santa Maria de Corcó</t>
  </si>
  <si>
    <t>Santa Maria de Martorelles</t>
  </si>
  <si>
    <t>Santa Maria de Merlès</t>
  </si>
  <si>
    <t>Santa Maria de Miralles</t>
  </si>
  <si>
    <t>Santa Maria de Palautordera</t>
  </si>
  <si>
    <t>Santa Maria d'Oló</t>
  </si>
  <si>
    <t>Santa Perpètua de Mogoda</t>
  </si>
  <si>
    <t>Santa Susanna</t>
  </si>
  <si>
    <t>Santpedor</t>
  </si>
  <si>
    <t>Sentmenat</t>
  </si>
  <si>
    <t>Seva</t>
  </si>
  <si>
    <t>Sitges</t>
  </si>
  <si>
    <t>Sobremunt</t>
  </si>
  <si>
    <t>Sora</t>
  </si>
  <si>
    <t>Subirats</t>
  </si>
  <si>
    <t>Súria</t>
  </si>
  <si>
    <t>Tagamanent</t>
  </si>
  <si>
    <t>Talamanca</t>
  </si>
  <si>
    <t>Taradell</t>
  </si>
  <si>
    <t>Tavèrnoles</t>
  </si>
  <si>
    <t>Tavertet</t>
  </si>
  <si>
    <t>Teià</t>
  </si>
  <si>
    <t>Terrassa</t>
  </si>
  <si>
    <t>Tiana</t>
  </si>
  <si>
    <t>Tona</t>
  </si>
  <si>
    <t>Tordera</t>
  </si>
  <si>
    <t>Torelló</t>
  </si>
  <si>
    <t>Torre de Claramunt (La)</t>
  </si>
  <si>
    <t>Torrelavit</t>
  </si>
  <si>
    <t>Torrelles de Foix</t>
  </si>
  <si>
    <t>Torrelles de Llobregat</t>
  </si>
  <si>
    <t>Ullastrell</t>
  </si>
  <si>
    <t>Vacarisses</t>
  </si>
  <si>
    <t>Vallbona d'Anoia</t>
  </si>
  <si>
    <t>Vallcebre</t>
  </si>
  <si>
    <t>Vallgorguina</t>
  </si>
  <si>
    <t>Vallirana</t>
  </si>
  <si>
    <t>Vallromanes</t>
  </si>
  <si>
    <t>Veciana</t>
  </si>
  <si>
    <t>Vic</t>
  </si>
  <si>
    <t>Vilada</t>
  </si>
  <si>
    <t>Viladecans</t>
  </si>
  <si>
    <t>Viladecavalls</t>
  </si>
  <si>
    <t>Vilafranca del Penedès</t>
  </si>
  <si>
    <t>Vilalba Sasserra</t>
  </si>
  <si>
    <t>Vilanova de Sau</t>
  </si>
  <si>
    <t>Vilanova del Camí</t>
  </si>
  <si>
    <t>Vilanova del Vallès</t>
  </si>
  <si>
    <t>Vilanova i la Geltrú</t>
  </si>
  <si>
    <t>Vilassar de Dalt</t>
  </si>
  <si>
    <t>Vilassar de Mar</t>
  </si>
  <si>
    <t>Vilobí del Penedès</t>
  </si>
  <si>
    <t>Viver i Serrateix</t>
  </si>
  <si>
    <t>Censo de Población 2019</t>
  </si>
  <si>
    <t>Acebeda (La)</t>
  </si>
  <si>
    <t>Ajalvir</t>
  </si>
  <si>
    <t>Alameda del Valle</t>
  </si>
  <si>
    <t>Álamo (El)</t>
  </si>
  <si>
    <t>Alcalá de Henares</t>
  </si>
  <si>
    <t>Alcobendas</t>
  </si>
  <si>
    <t>Alcorcón</t>
  </si>
  <si>
    <t>Aldea del Fresno</t>
  </si>
  <si>
    <t>Algete</t>
  </si>
  <si>
    <t>Alpedrete</t>
  </si>
  <si>
    <t>Ambite</t>
  </si>
  <si>
    <t>Anchuelo</t>
  </si>
  <si>
    <t>Aranjuez</t>
  </si>
  <si>
    <t>Arganda del Rey</t>
  </si>
  <si>
    <t>Arroyomolinos</t>
  </si>
  <si>
    <t>Atazar (El)</t>
  </si>
  <si>
    <t>Batres</t>
  </si>
  <si>
    <t>Becerril de la Sierra</t>
  </si>
  <si>
    <t>Belmonte de Tajo</t>
  </si>
  <si>
    <t>Berrueco (El)</t>
  </si>
  <si>
    <t>Berzosa del Lozoya</t>
  </si>
  <si>
    <t>Boadilla del Monte</t>
  </si>
  <si>
    <t>Boalo (El)</t>
  </si>
  <si>
    <t>Braojos</t>
  </si>
  <si>
    <t>Brea de Tajo</t>
  </si>
  <si>
    <t>Brunete</t>
  </si>
  <si>
    <t>Buitrago del Lozoya</t>
  </si>
  <si>
    <t>Bustarviejo</t>
  </si>
  <si>
    <t>Cabanillas de la Sierra</t>
  </si>
  <si>
    <t>Cabrera (La)</t>
  </si>
  <si>
    <t>Cadalso de los Vidrios</t>
  </si>
  <si>
    <t>Camarma de Esteruelas</t>
  </si>
  <si>
    <t>Campo Real</t>
  </si>
  <si>
    <t>Canencia</t>
  </si>
  <si>
    <t>Carabaña</t>
  </si>
  <si>
    <t>Casarrubuelos</t>
  </si>
  <si>
    <t>Cenicientos</t>
  </si>
  <si>
    <t>Cercedilla</t>
  </si>
  <si>
    <t>Cervera de Buitrago</t>
  </si>
  <si>
    <t>Chapinería</t>
  </si>
  <si>
    <t>Chinchón</t>
  </si>
  <si>
    <t>Ciempozuelos</t>
  </si>
  <si>
    <t>Cobeña</t>
  </si>
  <si>
    <t>Collado Mediano</t>
  </si>
  <si>
    <t>Collado Villalba</t>
  </si>
  <si>
    <t>Colmenar de Oreja</t>
  </si>
  <si>
    <t>Colmenar del Arroyo</t>
  </si>
  <si>
    <t>Colmenar Viejo</t>
  </si>
  <si>
    <t>Colmenarejo</t>
  </si>
  <si>
    <t>Corpa</t>
  </si>
  <si>
    <t>Coslada</t>
  </si>
  <si>
    <t>Cubas de la Sagra</t>
  </si>
  <si>
    <t>Daganzo de Arriba</t>
  </si>
  <si>
    <t>Escorial (El)</t>
  </si>
  <si>
    <t>Estremera</t>
  </si>
  <si>
    <t>Fresnedillas de la Oliva</t>
  </si>
  <si>
    <t>Fresno de Torote</t>
  </si>
  <si>
    <t>Fuenlabrada</t>
  </si>
  <si>
    <t>Fuente el Saz de Jarama</t>
  </si>
  <si>
    <t>Fuentidueña de Tajo</t>
  </si>
  <si>
    <t>Galapagar</t>
  </si>
  <si>
    <t>Garganta de los Montes</t>
  </si>
  <si>
    <t>Gargantilla del Lozoya y Pinilla de Buitrago</t>
  </si>
  <si>
    <t>Gascones</t>
  </si>
  <si>
    <t>Getafe</t>
  </si>
  <si>
    <t>Griñón</t>
  </si>
  <si>
    <t>Guadalix de la Sierra</t>
  </si>
  <si>
    <t>Guadarrama</t>
  </si>
  <si>
    <t>Hiruela (La)</t>
  </si>
  <si>
    <t>Horcajo de la Sierra</t>
  </si>
  <si>
    <t>Horcajuelo de la Sierra</t>
  </si>
  <si>
    <t>Hoyo de Manzanares</t>
  </si>
  <si>
    <t>Humanes de Madrid</t>
  </si>
  <si>
    <t>Leganés</t>
  </si>
  <si>
    <t>Loeches</t>
  </si>
  <si>
    <t>Lozoya</t>
  </si>
  <si>
    <t>Lozoyuela-Navas-Sieteiglesias</t>
  </si>
  <si>
    <t>Madarcos</t>
  </si>
  <si>
    <t>Majadahonda</t>
  </si>
  <si>
    <t>Manzanares el Real</t>
  </si>
  <si>
    <t>Meco</t>
  </si>
  <si>
    <t>Mejorada del Campo</t>
  </si>
  <si>
    <t>Miraflores de la Sierra</t>
  </si>
  <si>
    <t>Molar (El)</t>
  </si>
  <si>
    <t>Molinos (Los)</t>
  </si>
  <si>
    <t>Montejo de la Sierra</t>
  </si>
  <si>
    <t>Moraleja de Enmedio</t>
  </si>
  <si>
    <t>Moralzarzal</t>
  </si>
  <si>
    <t>Morata de Tajuña</t>
  </si>
  <si>
    <t>Móstoles</t>
  </si>
  <si>
    <t>Navacerrada</t>
  </si>
  <si>
    <t>Navalafuente</t>
  </si>
  <si>
    <t>Navalagamella</t>
  </si>
  <si>
    <t>Navalcarnero</t>
  </si>
  <si>
    <t>Navarredonda y San Mamés</t>
  </si>
  <si>
    <t>Navas del Rey</t>
  </si>
  <si>
    <t>Nuevo Baztán</t>
  </si>
  <si>
    <t>Olmeda de las Fuentes</t>
  </si>
  <si>
    <t>Orusco de Tajuña</t>
  </si>
  <si>
    <t>Paracuellos de Jarama</t>
  </si>
  <si>
    <t>Parla</t>
  </si>
  <si>
    <t>Patones</t>
  </si>
  <si>
    <t>Pedrezuela</t>
  </si>
  <si>
    <t>Pelayos de la Presa</t>
  </si>
  <si>
    <t>Perales de Tajuña</t>
  </si>
  <si>
    <t>Pezuela de las Torres</t>
  </si>
  <si>
    <t>Pinilla del Valle</t>
  </si>
  <si>
    <t>Pinto</t>
  </si>
  <si>
    <t>Piñuécar-Gandullas</t>
  </si>
  <si>
    <t>Pozuelo de Alarcón</t>
  </si>
  <si>
    <t>Pozuelo del Rey</t>
  </si>
  <si>
    <t>Prádena del Rincón</t>
  </si>
  <si>
    <t>Puebla de la Sierra</t>
  </si>
  <si>
    <t>Puentes Viejas</t>
  </si>
  <si>
    <t>Quijorna</t>
  </si>
  <si>
    <t>Rascafría</t>
  </si>
  <si>
    <t>Redueña</t>
  </si>
  <si>
    <t>Ribatejada</t>
  </si>
  <si>
    <t>Rivas-Vaciamadrid</t>
  </si>
  <si>
    <t>Robledillo de la Jara</t>
  </si>
  <si>
    <t>Robledo de Chavela</t>
  </si>
  <si>
    <t>Robregordo</t>
  </si>
  <si>
    <t>Rozas de Madrid (Las)</t>
  </si>
  <si>
    <t>Rozas de Puerto Real</t>
  </si>
  <si>
    <t>San Agustín del Guadalix</t>
  </si>
  <si>
    <t>San Fernando de Henares</t>
  </si>
  <si>
    <t>San Lorenzo de El Escorial</t>
  </si>
  <si>
    <t>San Martín de la Vega</t>
  </si>
  <si>
    <t>San Martín de Valdeiglesias</t>
  </si>
  <si>
    <t>San Sebastián de los Reyes</t>
  </si>
  <si>
    <t>Santa María de la Alameda</t>
  </si>
  <si>
    <t>Santorcaz</t>
  </si>
  <si>
    <t>Santos de la Humosa (Los)</t>
  </si>
  <si>
    <t>Serna del Monte (La)</t>
  </si>
  <si>
    <t>Serranillos del Valle</t>
  </si>
  <si>
    <t>Sevilla la Nueva</t>
  </si>
  <si>
    <t>Somosierra</t>
  </si>
  <si>
    <t>Soto del Real</t>
  </si>
  <si>
    <t>Talamanca de Jarama</t>
  </si>
  <si>
    <t>Tielmes</t>
  </si>
  <si>
    <t>Titulcia</t>
  </si>
  <si>
    <t>Torrejón de Ardoz</t>
  </si>
  <si>
    <t>Torrejón de la Calzada</t>
  </si>
  <si>
    <t>Torrejón de Velasco</t>
  </si>
  <si>
    <t>Torrelaguna</t>
  </si>
  <si>
    <t>Torrelodones</t>
  </si>
  <si>
    <t>Torremocha de Jarama</t>
  </si>
  <si>
    <t>Torres de la Alameda</t>
  </si>
  <si>
    <t>Tres Cantos</t>
  </si>
  <si>
    <t>Valdaracete</t>
  </si>
  <si>
    <t>Valdeavero</t>
  </si>
  <si>
    <t>Valdelaguna</t>
  </si>
  <si>
    <t>Valdemanco</t>
  </si>
  <si>
    <t>Valdemaqueda</t>
  </si>
  <si>
    <t>Valdemorillo</t>
  </si>
  <si>
    <t>Valdemoro</t>
  </si>
  <si>
    <t>Valdeolmos-Alalpardo</t>
  </si>
  <si>
    <t>Valdepiélagos</t>
  </si>
  <si>
    <t>Valdetorres de Jarama</t>
  </si>
  <si>
    <t>Valdilecha</t>
  </si>
  <si>
    <t>Valverde de Alcalá</t>
  </si>
  <si>
    <t>Velilla de San Antonio</t>
  </si>
  <si>
    <t>Vellón (El)</t>
  </si>
  <si>
    <t>Venturada</t>
  </si>
  <si>
    <t>Villa del Prado</t>
  </si>
  <si>
    <t>Villaconejos</t>
  </si>
  <si>
    <t>Villalbilla</t>
  </si>
  <si>
    <t>Villamanrique de Tajo</t>
  </si>
  <si>
    <t>Villamanta</t>
  </si>
  <si>
    <t>Villamantilla</t>
  </si>
  <si>
    <t>Villanueva de la Cañada</t>
  </si>
  <si>
    <t>Villanueva de Perales</t>
  </si>
  <si>
    <t>Villanueva del Pardillo</t>
  </si>
  <si>
    <t>Villar del Olmo</t>
  </si>
  <si>
    <t>Villarejo de Salvanés</t>
  </si>
  <si>
    <t>Villaviciosa de Odón</t>
  </si>
  <si>
    <t>Villavieja del Lozoya</t>
  </si>
  <si>
    <t>Zarzalejo</t>
  </si>
  <si>
    <t>Ademuz</t>
  </si>
  <si>
    <t>Ador</t>
  </si>
  <si>
    <t>Agullent</t>
  </si>
  <si>
    <t>Aielo de Malferit</t>
  </si>
  <si>
    <t>Aielo de Rugat</t>
  </si>
  <si>
    <t>Alaquàs</t>
  </si>
  <si>
    <t>Albaida</t>
  </si>
  <si>
    <t>Albal</t>
  </si>
  <si>
    <t>Albalat de la Ribera</t>
  </si>
  <si>
    <t>Albalat dels Sorells</t>
  </si>
  <si>
    <t>Albalat dels Tarongers</t>
  </si>
  <si>
    <t>Alberic</t>
  </si>
  <si>
    <t>Alborache</t>
  </si>
  <si>
    <t>Alboraya</t>
  </si>
  <si>
    <t>Albuixech</t>
  </si>
  <si>
    <t>Alcàntera de Xúquer</t>
  </si>
  <si>
    <t>Alcàsser</t>
  </si>
  <si>
    <t>Alcublas</t>
  </si>
  <si>
    <t>Alcúdia (l')</t>
  </si>
  <si>
    <t>Alcúdia de Crespins (l')</t>
  </si>
  <si>
    <t>Aldaia</t>
  </si>
  <si>
    <t>Alfafar</t>
  </si>
  <si>
    <t>Alfara de Algimia</t>
  </si>
  <si>
    <t>Alfara del Patriarca</t>
  </si>
  <si>
    <t>Alfarp</t>
  </si>
  <si>
    <t>Alfarrasí</t>
  </si>
  <si>
    <t>Alfauir</t>
  </si>
  <si>
    <t>Algar de Palancia</t>
  </si>
  <si>
    <t>Algemesí</t>
  </si>
  <si>
    <t>Algimia de Alfara</t>
  </si>
  <si>
    <t>Alginet</t>
  </si>
  <si>
    <t>Almàssera</t>
  </si>
  <si>
    <t>Almiserà</t>
  </si>
  <si>
    <t>Almoines</t>
  </si>
  <si>
    <t>Almussafes</t>
  </si>
  <si>
    <t>Alpuente</t>
  </si>
  <si>
    <t>Alquería de la Condesa/Alqueria de la Comtessa (l')</t>
  </si>
  <si>
    <t>Alzira</t>
  </si>
  <si>
    <t>Andilla</t>
  </si>
  <si>
    <t>Anna</t>
  </si>
  <si>
    <t>Antella</t>
  </si>
  <si>
    <t>Aras de los Olmos</t>
  </si>
  <si>
    <t>Atzeneta d'Albaida</t>
  </si>
  <si>
    <t>Ayora</t>
  </si>
  <si>
    <t>Barx</t>
  </si>
  <si>
    <t>Barxeta</t>
  </si>
  <si>
    <t>Bèlgida</t>
  </si>
  <si>
    <t>Bellreguard</t>
  </si>
  <si>
    <t>Bellús</t>
  </si>
  <si>
    <t>Benagéber</t>
  </si>
  <si>
    <t>Benaguasil</t>
  </si>
  <si>
    <t>Benavites</t>
  </si>
  <si>
    <t>Beneixida</t>
  </si>
  <si>
    <t>Benetússer</t>
  </si>
  <si>
    <t>Beniarjó</t>
  </si>
  <si>
    <t>Beniatjar</t>
  </si>
  <si>
    <t>Benicolet</t>
  </si>
  <si>
    <t>Benifaió</t>
  </si>
  <si>
    <t>Benifairó de la Valldigna</t>
  </si>
  <si>
    <t>Benifairó de les Valls</t>
  </si>
  <si>
    <t>Beniflá</t>
  </si>
  <si>
    <t>Benigánim</t>
  </si>
  <si>
    <t>Benimodo</t>
  </si>
  <si>
    <t>Benimuslem</t>
  </si>
  <si>
    <t>Beniparrell</t>
  </si>
  <si>
    <t>Benirredrà</t>
  </si>
  <si>
    <t>Benisanó</t>
  </si>
  <si>
    <t>Benissoda</t>
  </si>
  <si>
    <t>Benisuera</t>
  </si>
  <si>
    <t>Bétera</t>
  </si>
  <si>
    <t>Bicorp</t>
  </si>
  <si>
    <t>Bocairent</t>
  </si>
  <si>
    <t>Bolbaite</t>
  </si>
  <si>
    <t>Bonrepòs i Mirambell</t>
  </si>
  <si>
    <t>Bufali</t>
  </si>
  <si>
    <t>Bugarra</t>
  </si>
  <si>
    <t>Buñol</t>
  </si>
  <si>
    <t>Burjassot</t>
  </si>
  <si>
    <t>Calles</t>
  </si>
  <si>
    <t>Camporrobles</t>
  </si>
  <si>
    <t>Canals</t>
  </si>
  <si>
    <t>Canet d'En Berenguer</t>
  </si>
  <si>
    <t>Carcaixent</t>
  </si>
  <si>
    <t>Càrcer</t>
  </si>
  <si>
    <t>Carlet</t>
  </si>
  <si>
    <t>Carrícola</t>
  </si>
  <si>
    <t>Casas Altas</t>
  </si>
  <si>
    <t>Casas Bajas</t>
  </si>
  <si>
    <t>Casinos</t>
  </si>
  <si>
    <t>Castelló de Rugat</t>
  </si>
  <si>
    <t>Castellonet de la Conquesta</t>
  </si>
  <si>
    <t>Castielfabib</t>
  </si>
  <si>
    <t>Catadau</t>
  </si>
  <si>
    <t>Catarroja</t>
  </si>
  <si>
    <t>Caudete de las Fuentes</t>
  </si>
  <si>
    <t>Cerdà</t>
  </si>
  <si>
    <t>Chella</t>
  </si>
  <si>
    <t>Chelva</t>
  </si>
  <si>
    <t>Chera</t>
  </si>
  <si>
    <t>Cheste</t>
  </si>
  <si>
    <t>Chiva</t>
  </si>
  <si>
    <t>Chulilla</t>
  </si>
  <si>
    <t>Cofrentes</t>
  </si>
  <si>
    <t>Corbera</t>
  </si>
  <si>
    <t>Cortes de Pallás</t>
  </si>
  <si>
    <t>Cotes</t>
  </si>
  <si>
    <t>Cullera</t>
  </si>
  <si>
    <t>Daimús</t>
  </si>
  <si>
    <t>Domeño</t>
  </si>
  <si>
    <t>Dos Aguas</t>
  </si>
  <si>
    <t>Eliana (l')</t>
  </si>
  <si>
    <t>Emperador</t>
  </si>
  <si>
    <t>Enguera</t>
  </si>
  <si>
    <t>Ènova (l')</t>
  </si>
  <si>
    <t>Estivella</t>
  </si>
  <si>
    <t>Estubeny</t>
  </si>
  <si>
    <t>Faura</t>
  </si>
  <si>
    <t>Favara</t>
  </si>
  <si>
    <t>Foios</t>
  </si>
  <si>
    <t>Font de la Figuera (la)</t>
  </si>
  <si>
    <t>Font d'En Carròs (la)</t>
  </si>
  <si>
    <t>Fontanars dels Alforins</t>
  </si>
  <si>
    <t>Fortaleny</t>
  </si>
  <si>
    <t>Fuenterrobles</t>
  </si>
  <si>
    <t>Gandia</t>
  </si>
  <si>
    <t>Gátova</t>
  </si>
  <si>
    <t>Gavarda</t>
  </si>
  <si>
    <t>Genovés</t>
  </si>
  <si>
    <t>Gestalgar</t>
  </si>
  <si>
    <t>Gilet</t>
  </si>
  <si>
    <t>Godella</t>
  </si>
  <si>
    <t>Godelleta</t>
  </si>
  <si>
    <t>Granja de la Costera (la)</t>
  </si>
  <si>
    <t>Guadasequies</t>
  </si>
  <si>
    <t>Guadassuar</t>
  </si>
  <si>
    <t>Guardamar de la Safor</t>
  </si>
  <si>
    <t>Higueruelas</t>
  </si>
  <si>
    <t>Jalance</t>
  </si>
  <si>
    <t>Jarafuel</t>
  </si>
  <si>
    <t>Llanera de Ranes</t>
  </si>
  <si>
    <t>Llaurí</t>
  </si>
  <si>
    <t>Llíria</t>
  </si>
  <si>
    <t>Llocnou de Sant Jeroni</t>
  </si>
  <si>
    <t>Llocnou d'En Fenollet</t>
  </si>
  <si>
    <t>Llombai</t>
  </si>
  <si>
    <t>Llosa de Ranes (la)</t>
  </si>
  <si>
    <t>Llutxent</t>
  </si>
  <si>
    <t>Loriguilla</t>
  </si>
  <si>
    <t>Losa del Obispo</t>
  </si>
  <si>
    <t>Lugar Nuevo de la Corona</t>
  </si>
  <si>
    <t>Macastre</t>
  </si>
  <si>
    <t>Manises</t>
  </si>
  <si>
    <t>Manuel</t>
  </si>
  <si>
    <t>Marines</t>
  </si>
  <si>
    <t>Masalavés</t>
  </si>
  <si>
    <t>Massalfassar</t>
  </si>
  <si>
    <t>Massamagrell</t>
  </si>
  <si>
    <t>Massanassa</t>
  </si>
  <si>
    <t>Meliana</t>
  </si>
  <si>
    <t>Millares</t>
  </si>
  <si>
    <t>Miramar</t>
  </si>
  <si>
    <t>Mislata</t>
  </si>
  <si>
    <t>Mogente/Moixent</t>
  </si>
  <si>
    <t>Moncada</t>
  </si>
  <si>
    <t>Monserrat</t>
  </si>
  <si>
    <t>Montaverner</t>
  </si>
  <si>
    <t>Montesa</t>
  </si>
  <si>
    <t>Montichelvo</t>
  </si>
  <si>
    <t>Montroy</t>
  </si>
  <si>
    <t>Museros</t>
  </si>
  <si>
    <t>Náquera</t>
  </si>
  <si>
    <t>Navarrés</t>
  </si>
  <si>
    <t>Novelé/Novetlè</t>
  </si>
  <si>
    <t>Oliva</t>
  </si>
  <si>
    <t>Olleria (l')</t>
  </si>
  <si>
    <t>Olocau</t>
  </si>
  <si>
    <t>Ontinyent</t>
  </si>
  <si>
    <t>Otos</t>
  </si>
  <si>
    <t>Paiporta</t>
  </si>
  <si>
    <t>Palma de Gandía</t>
  </si>
  <si>
    <t>Palmera</t>
  </si>
  <si>
    <t>Palomar (el)</t>
  </si>
  <si>
    <t>Paterna</t>
  </si>
  <si>
    <t>Pedralba</t>
  </si>
  <si>
    <t>Petrés</t>
  </si>
  <si>
    <t>Picanya</t>
  </si>
  <si>
    <t>Picassent</t>
  </si>
  <si>
    <t>Piles</t>
  </si>
  <si>
    <t>Pinet</t>
  </si>
  <si>
    <t>Pobla de Farnals (la)</t>
  </si>
  <si>
    <t>Pobla de Vallbona (la)</t>
  </si>
  <si>
    <t>Pobla del Duc (la)</t>
  </si>
  <si>
    <t>Pobla Llarga (la)</t>
  </si>
  <si>
    <t>Polinyà de Xúquer</t>
  </si>
  <si>
    <t>Potríes</t>
  </si>
  <si>
    <t>Puçol</t>
  </si>
  <si>
    <t>Puebla de San Miguel</t>
  </si>
  <si>
    <t>Puig</t>
  </si>
  <si>
    <t>Quart de les Valls</t>
  </si>
  <si>
    <t>Quart de Poblet</t>
  </si>
  <si>
    <t>Quartell</t>
  </si>
  <si>
    <t>Quatretonda</t>
  </si>
  <si>
    <t>Quesa</t>
  </si>
  <si>
    <t>Rafelbuñol/Rafelbunyol</t>
  </si>
  <si>
    <t>Rafelcofer</t>
  </si>
  <si>
    <t>Rafelguaraf</t>
  </si>
  <si>
    <t>Ráfol de Salem</t>
  </si>
  <si>
    <t>Real de Gandía</t>
  </si>
  <si>
    <t>Real de Montroi</t>
  </si>
  <si>
    <t>Requena</t>
  </si>
  <si>
    <t>Riba-roja de Túria</t>
  </si>
  <si>
    <t>Riola</t>
  </si>
  <si>
    <t>Rocafort</t>
  </si>
  <si>
    <t>Rotglà i Corberà</t>
  </si>
  <si>
    <t>Rótova</t>
  </si>
  <si>
    <t>Rugat</t>
  </si>
  <si>
    <t>Sagunto/Sagunt</t>
  </si>
  <si>
    <t>Salem</t>
  </si>
  <si>
    <t>San Antonio de Benagéber</t>
  </si>
  <si>
    <t>San Juan de Énova</t>
  </si>
  <si>
    <t>Sedaví</t>
  </si>
  <si>
    <t>Segart</t>
  </si>
  <si>
    <t>Sellent</t>
  </si>
  <si>
    <t>Sempere</t>
  </si>
  <si>
    <t>Senyera</t>
  </si>
  <si>
    <t>Serra</t>
  </si>
  <si>
    <t>Siete Aguas</t>
  </si>
  <si>
    <t>Silla</t>
  </si>
  <si>
    <t>Simat de la Valldigna</t>
  </si>
  <si>
    <t>Sinarcas</t>
  </si>
  <si>
    <t>Sollana</t>
  </si>
  <si>
    <t>Sot de Chera</t>
  </si>
  <si>
    <t>Sueca</t>
  </si>
  <si>
    <t>Sumacàrcer</t>
  </si>
  <si>
    <t>Tavernes Blanques</t>
  </si>
  <si>
    <t>Tavernes de la Valldigna</t>
  </si>
  <si>
    <t>Teresa de Cofrentes</t>
  </si>
  <si>
    <t>Terrateig</t>
  </si>
  <si>
    <t>Titaguas</t>
  </si>
  <si>
    <t>Torrebaja</t>
  </si>
  <si>
    <t>Torrella</t>
  </si>
  <si>
    <t>Torrent</t>
  </si>
  <si>
    <t>Torres Torres</t>
  </si>
  <si>
    <t>Tous</t>
  </si>
  <si>
    <t>Tuéjar</t>
  </si>
  <si>
    <t>Turís</t>
  </si>
  <si>
    <t>Utiel</t>
  </si>
  <si>
    <t>Vallada</t>
  </si>
  <si>
    <t>Vallanca</t>
  </si>
  <si>
    <t>Vallés</t>
  </si>
  <si>
    <t>Venta del Moro</t>
  </si>
  <si>
    <t>Vilamarxant</t>
  </si>
  <si>
    <t>Villalonga</t>
  </si>
  <si>
    <t>Villanueva de Castellón</t>
  </si>
  <si>
    <t>Villar del Arzobispo</t>
  </si>
  <si>
    <t>Villargordo del Cabriel</t>
  </si>
  <si>
    <t>Vinalesa</t>
  </si>
  <si>
    <t>Xàtiva</t>
  </si>
  <si>
    <t>Xeraco</t>
  </si>
  <si>
    <t>Xeresa</t>
  </si>
  <si>
    <t>Xirivella</t>
  </si>
  <si>
    <t>Yátova</t>
  </si>
  <si>
    <t>Yesa (La)</t>
  </si>
  <si>
    <t>Zarra</t>
  </si>
  <si>
    <t>VALENCIA</t>
  </si>
  <si>
    <t xml:space="preserve">Sorteo </t>
  </si>
  <si>
    <t>Cantidad de productos vendidos - Barcelona</t>
  </si>
  <si>
    <t>Cantidad de productos vendidos - Madrid</t>
  </si>
  <si>
    <t>Cantidad de productos vendidos - Valencia</t>
  </si>
  <si>
    <t>TOTALES</t>
  </si>
  <si>
    <t>NO PARTICIPAN</t>
  </si>
  <si>
    <t>SORTEO (SOLO PARTICIPAN LOS CLIENTES MIEMBROS Y COMPRAS SUPERIORES A 30 EUROS)</t>
  </si>
  <si>
    <t>PARTICIPAN</t>
  </si>
  <si>
    <t>Lista validacion de datos</t>
  </si>
  <si>
    <t>Promedio</t>
  </si>
  <si>
    <t xml:space="preserve">ID FACTURA </t>
  </si>
  <si>
    <t>VENTAS TOTALES</t>
  </si>
  <si>
    <t>1) Sucursal que genera mas ventas en precio y cantidad</t>
  </si>
  <si>
    <t>2) Top 3 de los productos mas vendidos en cantidad por sucursal</t>
  </si>
  <si>
    <t>3) Top 3 de los productos menos vendidos en cantidad por sucursal</t>
  </si>
  <si>
    <t>4) Top 5 de los productos mas vendidos en precio por sucursal</t>
  </si>
  <si>
    <t>5) Top 5 de los productos menos vendidos en precio por sucursal</t>
  </si>
  <si>
    <t>6) Horas de mayor concurrencia según ventas</t>
  </si>
  <si>
    <t>7) Mes de mayores ventas y de menores ventas en cantidad</t>
  </si>
  <si>
    <t>8) Medio de pago mas utilizado por los clientes Normales y Member de cada sucursal</t>
  </si>
  <si>
    <t xml:space="preserve">9) Cantidad de ventas por millon de habitantes según la poblacion de cada Ciudad donde se encuentran las sucursales </t>
  </si>
  <si>
    <t>10) Cantidad de clientes que participan del sorteo</t>
  </si>
  <si>
    <t>9) Cantidad de Ventas por millon de habitantes</t>
  </si>
  <si>
    <t>12) Cantidad de productos vendidos por sucursal y tipo de producto</t>
  </si>
  <si>
    <t>11) Cuales son las estadisticas descriptivas respecto a la cantidad, precio unitario y ventas totales</t>
  </si>
  <si>
    <t xml:space="preserve">12) Cantidad de productos vendidos por sucursal </t>
  </si>
  <si>
    <t xml:space="preserve">13) Cantidad de ventas totales en 2019 por sucursal </t>
  </si>
  <si>
    <t xml:space="preserve">13) Cantidad de ventas totales en el año 2019 por sucursal </t>
  </si>
  <si>
    <t>BUSCARDOR DATOS DE FACTURACION</t>
  </si>
  <si>
    <t>PREGUNTAS</t>
  </si>
  <si>
    <t>RESPUESTAS</t>
  </si>
  <si>
    <t>Datos de facturacion:                                                   (ingrese ID factura)</t>
  </si>
  <si>
    <t>Luego, se tuvo en cuenta que tipo de clientes eligen comprar en los supermercados y cuales son los medios de pago más utilizados por los clientes en cada sucursal. Asimismo, se hizo un análisis de los meses y horarios de mayor concurrencia y menos concurrencia y la cantidad de ventas por millón de habitantes respecto a cada una de las Ciudades donde se ubican los supermercados.</t>
  </si>
  <si>
    <t>Análisis en la tabla auxiliar:</t>
  </si>
  <si>
    <t>A partir del data set se pudieron plantear diferentes interrogantes en función de nuestro objetivo de análisis, para ello se formularon diversos Inside que fueron desarrollándose y resolviendo a través de diversas formulas y tablas:</t>
  </si>
  <si>
    <t>=(S5/Tabla_poblacion!B5)*1000000</t>
  </si>
  <si>
    <t>=CONTAR.SI(Tabla_Ventas[SUCURSAL];"Barcelona")</t>
  </si>
  <si>
    <r>
      <t>-</t>
    </r>
    <r>
      <rPr>
        <sz val="16"/>
        <color theme="1"/>
        <rFont val="Times New Roman"/>
        <family val="1"/>
      </rPr>
      <t xml:space="preserve">       </t>
    </r>
    <r>
      <rPr>
        <sz val="16"/>
        <color theme="1"/>
        <rFont val="Calibri"/>
        <family val="2"/>
        <scheme val="minor"/>
      </rPr>
      <t>Control y verificación de los campos: que no haya duplicados, validación de datos para evitar ingresar datos incorrectos, formato de cada columna según corresponda.</t>
    </r>
  </si>
  <si>
    <r>
      <t>-</t>
    </r>
    <r>
      <rPr>
        <sz val="16"/>
        <color theme="1"/>
        <rFont val="Times New Roman"/>
        <family val="1"/>
      </rPr>
      <t xml:space="preserve">       </t>
    </r>
    <r>
      <rPr>
        <sz val="16"/>
        <color theme="1"/>
        <rFont val="Calibri"/>
        <family val="2"/>
        <scheme val="minor"/>
      </rPr>
      <t>Formato condicional en la columna de Rating y ordenado de mayor a menor.</t>
    </r>
  </si>
  <si>
    <r>
      <t>-</t>
    </r>
    <r>
      <rPr>
        <sz val="16"/>
        <color theme="1"/>
        <rFont val="Times New Roman"/>
        <family val="1"/>
      </rPr>
      <t xml:space="preserve">       </t>
    </r>
    <r>
      <rPr>
        <sz val="16"/>
        <color theme="1"/>
        <rFont val="Calibri"/>
        <family val="2"/>
        <scheme val="minor"/>
      </rPr>
      <t>Sorteo: para ver que clientes participan o no del sorteo se implemento la siguiente formula (=SI(Y([@[VENTA TOTAL]]&gt;=30;[@[TIPO DE CLIENTE/ Customer type]]="Member");"PARTICIPA";"NO PARTICIPA").</t>
    </r>
  </si>
  <si>
    <r>
      <t>-</t>
    </r>
    <r>
      <rPr>
        <sz val="16"/>
        <color theme="1"/>
        <rFont val="Times New Roman"/>
        <family val="1"/>
      </rPr>
      <t xml:space="preserve">       </t>
    </r>
    <r>
      <rPr>
        <sz val="16"/>
        <color theme="1"/>
        <rFont val="Calibri"/>
        <family val="2"/>
        <scheme val="minor"/>
      </rPr>
      <t>Tablas dinámicas donde se fueron analizando diversos valores en función de las sucursales, productos, meses, horas y clientes.</t>
    </r>
  </si>
  <si>
    <r>
      <t>-</t>
    </r>
    <r>
      <rPr>
        <sz val="16"/>
        <color theme="1"/>
        <rFont val="Times New Roman"/>
        <family val="1"/>
      </rPr>
      <t xml:space="preserve">       </t>
    </r>
    <r>
      <rPr>
        <sz val="16"/>
        <color theme="1"/>
        <rFont val="Calibri"/>
        <family val="2"/>
        <scheme val="minor"/>
      </rPr>
      <t>Estadística descriptiva: se hizo un análisis descriptivo de las cantidades, precio unitario y ventas totales, en función del promedio (utilizando la función PROMEDIO), la mediana (utilizando la función MEDIANA), el mínimo y máximo (usando la función MIN y MAX) y luego el rango que es la diferencia entre el máximo y el mínimo.</t>
    </r>
  </si>
  <si>
    <r>
      <t>-</t>
    </r>
    <r>
      <rPr>
        <sz val="16"/>
        <color theme="1"/>
        <rFont val="Times New Roman"/>
        <family val="1"/>
      </rPr>
      <t xml:space="preserve">       </t>
    </r>
    <r>
      <rPr>
        <sz val="16"/>
        <color theme="1"/>
        <rFont val="Calibri"/>
        <family val="2"/>
        <scheme val="minor"/>
      </rPr>
      <t>Buscador de datos: se llevo a cabo un buscador a partir de ingresar el ID de la factura y obtener datos de la misma como la línea de producto a la que corresponde, precio unitario y cantidad.</t>
    </r>
  </si>
  <si>
    <r>
      <t>-</t>
    </r>
    <r>
      <rPr>
        <sz val="16"/>
        <color theme="1"/>
        <rFont val="Times New Roman"/>
        <family val="1"/>
      </rPr>
      <t xml:space="preserve">       </t>
    </r>
    <r>
      <rPr>
        <sz val="16"/>
        <color theme="1"/>
        <rFont val="Calibri"/>
        <family val="2"/>
        <scheme val="minor"/>
      </rPr>
      <t>Cantidad de ventas por millón de habitantes: Se tomo el total de habitantes por ciudad y se aplico la siguiente formula:</t>
    </r>
  </si>
  <si>
    <r>
      <t>-</t>
    </r>
    <r>
      <rPr>
        <sz val="16"/>
        <color theme="1"/>
        <rFont val="Times New Roman"/>
        <family val="1"/>
      </rPr>
      <t xml:space="preserve">       </t>
    </r>
    <r>
      <rPr>
        <sz val="16"/>
        <color theme="1"/>
        <rFont val="Calibri"/>
        <family val="2"/>
        <scheme val="minor"/>
      </rPr>
      <t>Cantidad de productos vendidos por sucursal: se utilizo la función CONTAR.SI:</t>
    </r>
  </si>
  <si>
    <t>Formula: =BUSCARV(C23;Tabla_Ventas;4;FALSO)</t>
  </si>
  <si>
    <t>Anotaciones y comentarios del Data Set</t>
  </si>
  <si>
    <r>
      <rPr>
        <b/>
        <sz val="16"/>
        <color theme="1"/>
        <rFont val="Calibri"/>
        <family val="2"/>
        <scheme val="minor"/>
      </rPr>
      <t>Objetivo del análisis:</t>
    </r>
    <r>
      <rPr>
        <sz val="16"/>
        <color theme="1"/>
        <rFont val="Calibri"/>
        <family val="2"/>
        <scheme val="minor"/>
      </rPr>
      <t xml:space="preserve"> El objetivo es identificar las métricas de desempeño de las ventas, para así poder abordar o profundizar en las problemáticas identificadas a partir del análisis de los datos, implementando nuevas estrategias para impulsar las ventas de aquellos productos menos vendidos y estimular al publico a comprar en los supermercados.</t>
    </r>
  </si>
  <si>
    <t>A partir del data set (Tabla Ventas) se analizo  el desarrollo de las ventas en el año 2019 de tres supermercados que se encuentran ubicados en tres ciudades de España (Barcelona, Madrid y Valencia) principalmente se analizo las ventas totales y las cantidades que fueron vendidas en trascurso del año 2019, a su vez se hizo hincapié en la cantidad de clientes que hicieron sus compras, cuales productos fueron los más vendidos en relación a las ventas y los menos vendidos.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</si>
</sst>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quot;* #,##0.00_);_(&quot;$&quot;* \(#,##0.00\);_(&quot;$&quot;* &quot;-&quot;??_);_(@_)"/>
    <numFmt numFmtId="165" formatCode="&quot;$&quot;\ #,##0.00"/>
    <numFmt numFmtId="166" formatCode="dd/mm/yyyy"/>
    <numFmt numFmtId="167" formatCode="[$-F400]h:mm:ss\ AM/PM"/>
    <numFmt numFmtId="168" formatCode="_(* #,##0_);_(* \(#,##0\);_(* &quot;-&quot;??_);_(@_)"/>
    <numFmt numFmtId="169" formatCode="&quot;$&quot;\ #,##0"/>
    <numFmt numFmtId="170" formatCode="[$€-2]\ #,##0.00"/>
    <numFmt numFmtId="171" formatCode="[$€-2]\ #,##0"/>
    <numFmt numFmtId="172" formatCode="#,##0.00\ [$€-C0A]"/>
    <numFmt numFmtId="173" formatCode="#,##0\ [$€-C0A]"/>
    <numFmt numFmtId="174" formatCode="[$-2C0A]h:mm:ss\ AM/PM;@"/>
    <numFmt numFmtId="175" formatCode="_([$€-2]\ * #_);_([$€-2]\ * \(#\);_([$€-2]\ * &quot;-&quot;??_);_(@_)"/>
  </numFmts>
  <fonts count="44" x14ac:knownFonts="1">
    <font>
      <sz val="12"/>
      <color theme="1"/>
      <name val="Calibri"/>
      <family val="2"/>
      <scheme val="minor"/>
    </font>
    <font>
      <sz val="12"/>
      <color indexed="8"/>
      <name val="Calibri"/>
      <family val="2"/>
    </font>
    <font>
      <sz val="14"/>
      <color indexed="8"/>
      <name val="Calibri"/>
      <family val="2"/>
    </font>
    <font>
      <b/>
      <sz val="12"/>
      <color indexed="9"/>
      <name val="Calibri"/>
      <family val="2"/>
    </font>
    <font>
      <sz val="12"/>
      <color theme="1"/>
      <name val="Calibri"/>
      <family val="2"/>
      <scheme val="minor"/>
    </font>
    <font>
      <sz val="12"/>
      <color rgb="FF006100"/>
      <name val="Calibri"/>
      <family val="2"/>
      <scheme val="minor"/>
    </font>
    <font>
      <b/>
      <sz val="12"/>
      <color indexed="52"/>
      <name val="Calibri"/>
      <family val="2"/>
      <scheme val="minor"/>
    </font>
    <font>
      <b/>
      <sz val="12"/>
      <color theme="0"/>
      <name val="Calibri"/>
      <family val="2"/>
      <scheme val="minor"/>
    </font>
    <font>
      <sz val="12"/>
      <color indexed="52"/>
      <name val="Calibri"/>
      <family val="2"/>
      <scheme val="minor"/>
    </font>
    <font>
      <b/>
      <sz val="15"/>
      <color indexed="54"/>
      <name val="Calibri"/>
      <family val="2"/>
      <scheme val="minor"/>
    </font>
    <font>
      <b/>
      <sz val="11"/>
      <color indexed="54"/>
      <name val="Calibri"/>
      <family val="2"/>
      <scheme val="minor"/>
    </font>
    <font>
      <sz val="12"/>
      <color theme="0"/>
      <name val="Calibri"/>
      <family val="2"/>
      <scheme val="minor"/>
    </font>
    <font>
      <sz val="12"/>
      <color rgb="FF3F3F76"/>
      <name val="Calibri"/>
      <family val="2"/>
      <scheme val="minor"/>
    </font>
    <font>
      <sz val="12"/>
      <color rgb="FF9C0006"/>
      <name val="Calibri"/>
      <family val="2"/>
      <scheme val="minor"/>
    </font>
    <font>
      <sz val="12"/>
      <color rgb="FF9C5700"/>
      <name val="Calibri"/>
      <family val="2"/>
      <scheme val="minor"/>
    </font>
    <font>
      <b/>
      <sz val="12"/>
      <color rgb="FF3F3F3F"/>
      <name val="Calibri"/>
      <family val="2"/>
      <scheme val="minor"/>
    </font>
    <font>
      <sz val="12"/>
      <color rgb="FFFF0000"/>
      <name val="Calibri"/>
      <family val="2"/>
      <scheme val="minor"/>
    </font>
    <font>
      <i/>
      <sz val="12"/>
      <color rgb="FF7F7F7F"/>
      <name val="Calibri"/>
      <family val="2"/>
      <scheme val="minor"/>
    </font>
    <font>
      <sz val="18"/>
      <color indexed="54"/>
      <name val="Calibri Light"/>
      <family val="2"/>
      <scheme val="major"/>
    </font>
    <font>
      <b/>
      <sz val="13"/>
      <color indexed="54"/>
      <name val="Calibri"/>
      <family val="2"/>
      <scheme val="minor"/>
    </font>
    <font>
      <b/>
      <sz val="12"/>
      <color theme="1"/>
      <name val="Calibri"/>
      <family val="2"/>
      <scheme val="minor"/>
    </font>
    <font>
      <b/>
      <sz val="14"/>
      <color indexed="9"/>
      <name val="Calibri"/>
      <family val="2"/>
    </font>
    <font>
      <b/>
      <sz val="14"/>
      <color indexed="8"/>
      <name val="Calibri"/>
      <family val="2"/>
    </font>
    <font>
      <b/>
      <sz val="18"/>
      <color indexed="9"/>
      <name val="Calibri"/>
      <family val="2"/>
    </font>
    <font>
      <b/>
      <sz val="16"/>
      <color indexed="9"/>
      <name val="Calibri"/>
      <family val="2"/>
    </font>
    <font>
      <b/>
      <sz val="12"/>
      <color theme="9" tint="-0.499984740745262"/>
      <name val="Calibri"/>
      <family val="2"/>
      <scheme val="minor"/>
    </font>
    <font>
      <sz val="8"/>
      <name val="Calibri"/>
      <family val="2"/>
      <scheme val="minor"/>
    </font>
    <font>
      <sz val="10"/>
      <name val="Calibri"/>
      <family val="2"/>
      <scheme val="minor"/>
    </font>
    <font>
      <b/>
      <sz val="14"/>
      <name val="Calibri"/>
      <family val="2"/>
      <scheme val="minor"/>
    </font>
    <font>
      <sz val="9"/>
      <name val="Calibri"/>
      <family val="2"/>
      <scheme val="minor"/>
    </font>
    <font>
      <b/>
      <sz val="18"/>
      <color theme="0"/>
      <name val="Calibri"/>
      <family val="2"/>
      <scheme val="minor"/>
    </font>
    <font>
      <b/>
      <sz val="16"/>
      <color theme="0"/>
      <name val="Calibri"/>
      <family val="2"/>
      <scheme val="minor"/>
    </font>
    <font>
      <sz val="10"/>
      <color theme="0"/>
      <name val="Calibri"/>
      <family val="2"/>
      <scheme val="minor"/>
    </font>
    <font>
      <sz val="8"/>
      <color rgb="FF000000"/>
      <name val="Tahoma"/>
      <family val="2"/>
    </font>
    <font>
      <b/>
      <sz val="14"/>
      <color theme="0"/>
      <name val="Calibri"/>
      <family val="2"/>
    </font>
    <font>
      <sz val="14"/>
      <color theme="1"/>
      <name val="Calibri"/>
      <family val="2"/>
      <scheme val="minor"/>
    </font>
    <font>
      <b/>
      <sz val="11"/>
      <color theme="0"/>
      <name val="Calibri"/>
      <family val="2"/>
      <scheme val="minor"/>
    </font>
    <font>
      <b/>
      <sz val="20"/>
      <color indexed="9"/>
      <name val="Calibri"/>
      <family val="2"/>
    </font>
    <font>
      <b/>
      <sz val="14"/>
      <color theme="0"/>
      <name val="Calibri"/>
      <family val="2"/>
      <scheme val="minor"/>
    </font>
    <font>
      <sz val="14"/>
      <color theme="0"/>
      <name val="Calibri"/>
      <family val="2"/>
    </font>
    <font>
      <sz val="16"/>
      <color theme="1"/>
      <name val="Calibri"/>
      <family val="2"/>
      <scheme val="minor"/>
    </font>
    <font>
      <sz val="16"/>
      <color theme="1"/>
      <name val="Times New Roman"/>
      <family val="1"/>
    </font>
    <font>
      <b/>
      <sz val="16"/>
      <color rgb="FFF0EEED"/>
      <name val="Calibri"/>
      <family val="2"/>
      <scheme val="minor"/>
    </font>
    <font>
      <b/>
      <sz val="16"/>
      <color theme="1"/>
      <name val="Calibri"/>
      <family val="2"/>
      <scheme val="minor"/>
    </font>
  </fonts>
  <fills count="39">
    <fill>
      <patternFill patternType="none"/>
    </fill>
    <fill>
      <patternFill patternType="gray125"/>
    </fill>
    <fill>
      <patternFill patternType="solid">
        <fgColor indexed="31"/>
      </patternFill>
    </fill>
    <fill>
      <patternFill patternType="solid">
        <fgColor indexed="22"/>
      </patternFill>
    </fill>
    <fill>
      <patternFill patternType="solid">
        <fgColor indexed="9"/>
      </patternFill>
    </fill>
    <fill>
      <patternFill patternType="solid">
        <fgColor indexed="27"/>
      </patternFill>
    </fill>
    <fill>
      <patternFill patternType="solid">
        <fgColor indexed="42"/>
      </patternFill>
    </fill>
    <fill>
      <patternFill patternType="solid">
        <fgColor indexed="43"/>
      </patternFill>
    </fill>
    <fill>
      <patternFill patternType="solid">
        <fgColor indexed="49"/>
      </patternFill>
    </fill>
    <fill>
      <patternFill patternType="solid">
        <fgColor indexed="57"/>
      </patternFill>
    </fill>
    <fill>
      <patternFill patternType="solid">
        <fgColor indexed="62"/>
      </patternFill>
    </fill>
    <fill>
      <patternFill patternType="solid">
        <fgColor indexed="53"/>
      </patternFill>
    </fill>
    <fill>
      <patternFill patternType="solid">
        <fgColor indexed="51"/>
      </patternFill>
    </fill>
    <fill>
      <patternFill patternType="solid">
        <fgColor indexed="45"/>
      </patternFill>
    </fill>
    <fill>
      <patternFill patternType="solid">
        <fgColor theme="7" tint="0.79998168889431442"/>
        <bgColor indexed="65"/>
      </patternFill>
    </fill>
    <fill>
      <patternFill patternType="solid">
        <fgColor theme="4"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rgb="FFA5A5A5"/>
      </patternFill>
    </fill>
    <fill>
      <patternFill patternType="solid">
        <fgColor theme="6"/>
      </patternFill>
    </fill>
    <fill>
      <patternFill patternType="solid">
        <fgColor theme="8"/>
      </patternFill>
    </fill>
    <fill>
      <patternFill patternType="solid">
        <fgColor rgb="FFFFEB9C"/>
      </patternFill>
    </fill>
    <fill>
      <patternFill patternType="solid">
        <fgColor rgb="FFFFFFCC"/>
      </patternFill>
    </fill>
    <fill>
      <patternFill patternType="solid">
        <fgColor rgb="FF00BDA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CBFEF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1"/>
        <bgColor indexed="64"/>
      </patternFill>
    </fill>
    <fill>
      <patternFill patternType="solid">
        <fgColor theme="0"/>
        <bgColor indexed="64"/>
      </patternFill>
    </fill>
    <fill>
      <patternFill patternType="solid">
        <fgColor theme="9" tint="0.59999389629810485"/>
        <bgColor theme="0"/>
      </patternFill>
    </fill>
    <fill>
      <patternFill patternType="solid">
        <fgColor rgb="FFF0EEED"/>
        <bgColor indexed="64"/>
      </patternFill>
    </fill>
    <fill>
      <patternFill patternType="solid">
        <fgColor rgb="FF49A0A3"/>
        <bgColor indexed="64"/>
      </patternFill>
    </fill>
    <fill>
      <patternFill patternType="solid">
        <fgColor rgb="FF332C39"/>
        <bgColor indexed="64"/>
      </patternFill>
    </fill>
    <fill>
      <patternFill patternType="solid">
        <fgColor rgb="FFC92C6D"/>
        <bgColor indexed="64"/>
      </patternFill>
    </fill>
  </fills>
  <borders count="24">
    <border>
      <left/>
      <right/>
      <top/>
      <bottom/>
      <diagonal/>
    </border>
    <border>
      <left/>
      <right/>
      <top/>
      <bottom style="double">
        <color indexed="52"/>
      </bottom>
      <diagonal/>
    </border>
    <border>
      <left/>
      <right/>
      <top/>
      <bottom style="thick">
        <color indexed="62"/>
      </bottom>
      <diagonal/>
    </border>
    <border>
      <left/>
      <right/>
      <top/>
      <bottom style="medium">
        <color indexed="49"/>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ck">
        <color indexed="51"/>
      </bottom>
      <diagonal/>
    </border>
  </borders>
  <cellStyleXfs count="44">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1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15"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4" fillId="9" borderId="0" applyNumberFormat="0" applyBorder="0" applyAlignment="0" applyProtection="0"/>
    <xf numFmtId="0" fontId="5" fillId="6" borderId="0" applyNumberFormat="0" applyBorder="0" applyAlignment="0" applyProtection="0"/>
    <xf numFmtId="0" fontId="6" fillId="3" borderId="9" applyNumberFormat="0" applyAlignment="0" applyProtection="0"/>
    <xf numFmtId="0" fontId="7" fillId="21" borderId="10" applyNumberFormat="0" applyAlignment="0" applyProtection="0"/>
    <xf numFmtId="0" fontId="8" fillId="0" borderId="1" applyNumberFormat="0" applyFill="0" applyAlignment="0" applyProtection="0"/>
    <xf numFmtId="0" fontId="9" fillId="0" borderId="2" applyNumberFormat="0" applyFill="0" applyAlignment="0" applyProtection="0"/>
    <xf numFmtId="0" fontId="10" fillId="0" borderId="0" applyNumberFormat="0" applyFill="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22" borderId="0" applyNumberFormat="0" applyBorder="0" applyAlignment="0" applyProtection="0"/>
    <xf numFmtId="0" fontId="11" fillId="12" borderId="0" applyNumberFormat="0" applyBorder="0" applyAlignment="0" applyProtection="0"/>
    <xf numFmtId="0" fontId="11" fillId="23" borderId="0" applyNumberFormat="0" applyBorder="0" applyAlignment="0" applyProtection="0"/>
    <xf numFmtId="0" fontId="11" fillId="9" borderId="0" applyNumberFormat="0" applyBorder="0" applyAlignment="0" applyProtection="0"/>
    <xf numFmtId="0" fontId="12" fillId="3" borderId="9" applyNumberFormat="0" applyAlignment="0" applyProtection="0"/>
    <xf numFmtId="0" fontId="13" fillId="13" borderId="0" applyNumberFormat="0" applyBorder="0" applyAlignment="0" applyProtection="0"/>
    <xf numFmtId="164" fontId="1" fillId="0" borderId="0" applyFont="0" applyFill="0" applyBorder="0" applyAlignment="0" applyProtection="0"/>
    <xf numFmtId="0" fontId="14" fillId="24" borderId="0" applyNumberFormat="0" applyBorder="0" applyAlignment="0" applyProtection="0"/>
    <xf numFmtId="0" fontId="1" fillId="25" borderId="11" applyNumberFormat="0" applyFont="0" applyAlignment="0" applyProtection="0"/>
    <xf numFmtId="0" fontId="15" fillId="3" borderId="12"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13" applyNumberFormat="0" applyFill="0" applyAlignment="0" applyProtection="0"/>
    <xf numFmtId="0" fontId="10" fillId="0" borderId="3" applyNumberFormat="0" applyFill="0" applyAlignment="0" applyProtection="0"/>
    <xf numFmtId="0" fontId="20" fillId="0" borderId="4" applyNumberFormat="0" applyFill="0" applyAlignment="0" applyProtection="0"/>
    <xf numFmtId="9" fontId="4" fillId="0" borderId="0" applyFont="0" applyFill="0" applyBorder="0" applyAlignment="0" applyProtection="0"/>
  </cellStyleXfs>
  <cellXfs count="152">
    <xf numFmtId="0" fontId="0" fillId="0" borderId="0" xfId="0"/>
    <xf numFmtId="49" fontId="0" fillId="0" borderId="0" xfId="0" applyNumberFormat="1"/>
    <xf numFmtId="1" fontId="0" fillId="0" borderId="0" xfId="0" applyNumberFormat="1"/>
    <xf numFmtId="0" fontId="0" fillId="0" borderId="0" xfId="0" applyNumberFormat="1"/>
    <xf numFmtId="49" fontId="0" fillId="0" borderId="5" xfId="0" applyNumberFormat="1" applyFont="1" applyBorder="1"/>
    <xf numFmtId="166" fontId="0" fillId="0" borderId="0" xfId="0" applyNumberFormat="1" applyAlignment="1">
      <alignment horizontal="right" vertical="center"/>
    </xf>
    <xf numFmtId="0" fontId="2" fillId="0" borderId="0" xfId="0" applyFont="1"/>
    <xf numFmtId="1" fontId="0" fillId="0" borderId="0" xfId="0" applyNumberFormat="1" applyAlignment="1">
      <alignment horizontal="right"/>
    </xf>
    <xf numFmtId="0" fontId="2" fillId="0" borderId="0" xfId="0" applyNumberFormat="1" applyFont="1"/>
    <xf numFmtId="167" fontId="0" fillId="0" borderId="0" xfId="0" applyNumberFormat="1"/>
    <xf numFmtId="0" fontId="22" fillId="0" borderId="0" xfId="0" applyFont="1"/>
    <xf numFmtId="0" fontId="20" fillId="0" borderId="0" xfId="0" applyFont="1" applyAlignment="1">
      <alignment horizontal="center" vertical="center" wrapText="1"/>
    </xf>
    <xf numFmtId="49" fontId="0" fillId="0" borderId="20" xfId="0" applyNumberFormat="1" applyFont="1" applyBorder="1"/>
    <xf numFmtId="1" fontId="0" fillId="0" borderId="0" xfId="0" applyNumberFormat="1" applyAlignment="1">
      <alignment horizontal="left"/>
    </xf>
    <xf numFmtId="0" fontId="0" fillId="0" borderId="0" xfId="0" applyAlignment="1">
      <alignment horizontal="left"/>
    </xf>
    <xf numFmtId="0" fontId="0" fillId="0" borderId="0" xfId="0" applyAlignment="1">
      <alignment horizontal="center"/>
    </xf>
    <xf numFmtId="49" fontId="0" fillId="0" borderId="17" xfId="0" applyNumberFormat="1" applyFont="1" applyBorder="1"/>
    <xf numFmtId="0" fontId="0" fillId="0" borderId="5" xfId="0" applyBorder="1"/>
    <xf numFmtId="0" fontId="2" fillId="0" borderId="0" xfId="0" applyFont="1" applyBorder="1"/>
    <xf numFmtId="0" fontId="0" fillId="0" borderId="0" xfId="0" pivotButton="1"/>
    <xf numFmtId="168" fontId="0" fillId="0" borderId="0" xfId="0" applyNumberFormat="1"/>
    <xf numFmtId="168" fontId="20" fillId="0" borderId="0" xfId="0" applyNumberFormat="1" applyFont="1"/>
    <xf numFmtId="0" fontId="0" fillId="0" borderId="0" xfId="0" applyAlignment="1">
      <alignment horizontal="left" indent="1"/>
    </xf>
    <xf numFmtId="167" fontId="0" fillId="0" borderId="0" xfId="0" applyNumberFormat="1" applyAlignment="1">
      <alignment horizontal="left"/>
    </xf>
    <xf numFmtId="166" fontId="0" fillId="0" borderId="0" xfId="0" applyNumberFormat="1" applyAlignment="1">
      <alignment horizontal="left"/>
    </xf>
    <xf numFmtId="165" fontId="0" fillId="0" borderId="0" xfId="0" applyNumberFormat="1" applyAlignment="1">
      <alignment horizontal="center"/>
    </xf>
    <xf numFmtId="168" fontId="0" fillId="28" borderId="0" xfId="0" applyNumberFormat="1" applyFill="1"/>
    <xf numFmtId="0" fontId="0" fillId="0" borderId="0" xfId="0" applyAlignment="1">
      <alignment horizontal="center" wrapText="1"/>
    </xf>
    <xf numFmtId="169" fontId="0" fillId="0" borderId="0" xfId="0" applyNumberFormat="1" applyAlignment="1">
      <alignment horizontal="center"/>
    </xf>
    <xf numFmtId="171" fontId="0" fillId="0" borderId="0" xfId="0" applyNumberFormat="1"/>
    <xf numFmtId="0" fontId="0" fillId="0" borderId="0" xfId="0" applyFont="1"/>
    <xf numFmtId="0" fontId="27" fillId="0" borderId="0" xfId="0" applyFont="1"/>
    <xf numFmtId="0" fontId="29" fillId="0" borderId="0" xfId="0" applyFont="1"/>
    <xf numFmtId="3" fontId="29" fillId="0" borderId="0" xfId="0" applyNumberFormat="1" applyFont="1"/>
    <xf numFmtId="0" fontId="29" fillId="0" borderId="23" xfId="0" applyFont="1" applyBorder="1"/>
    <xf numFmtId="3" fontId="29" fillId="0" borderId="23" xfId="0" applyNumberFormat="1" applyFont="1" applyBorder="1"/>
    <xf numFmtId="0" fontId="27" fillId="26" borderId="0" xfId="0" applyFont="1" applyFill="1" applyAlignment="1">
      <alignment vertical="center"/>
    </xf>
    <xf numFmtId="0" fontId="28" fillId="29" borderId="0" xfId="0" applyFont="1" applyFill="1" applyAlignment="1">
      <alignment vertical="center"/>
    </xf>
    <xf numFmtId="0" fontId="27" fillId="29" borderId="0" xfId="0" applyFont="1" applyFill="1" applyAlignment="1">
      <alignment vertical="center"/>
    </xf>
    <xf numFmtId="173" fontId="20" fillId="0" borderId="0" xfId="0" applyNumberFormat="1" applyFont="1"/>
    <xf numFmtId="173" fontId="0" fillId="0" borderId="0" xfId="0" applyNumberFormat="1"/>
    <xf numFmtId="173" fontId="25" fillId="28" borderId="0" xfId="0" applyNumberFormat="1" applyFont="1" applyFill="1"/>
    <xf numFmtId="173" fontId="0" fillId="0" borderId="0" xfId="0" applyNumberFormat="1" applyFont="1" applyFill="1"/>
    <xf numFmtId="172" fontId="0" fillId="0" borderId="0" xfId="33" applyNumberFormat="1" applyFont="1" applyAlignment="1">
      <alignment horizontal="right"/>
    </xf>
    <xf numFmtId="172" fontId="0" fillId="0" borderId="0" xfId="0" applyNumberFormat="1"/>
    <xf numFmtId="1" fontId="35" fillId="0" borderId="16" xfId="0" applyNumberFormat="1" applyFont="1" applyBorder="1" applyAlignment="1">
      <alignment horizontal="left"/>
    </xf>
    <xf numFmtId="49" fontId="35" fillId="0" borderId="5" xfId="0" applyNumberFormat="1" applyFont="1" applyBorder="1"/>
    <xf numFmtId="172" fontId="35" fillId="0" borderId="5" xfId="33" applyNumberFormat="1" applyFont="1" applyBorder="1" applyAlignment="1">
      <alignment horizontal="right"/>
    </xf>
    <xf numFmtId="1" fontId="35" fillId="0" borderId="5" xfId="0" applyNumberFormat="1" applyFont="1" applyBorder="1"/>
    <xf numFmtId="172" fontId="35" fillId="0" borderId="5" xfId="0" applyNumberFormat="1" applyFont="1" applyBorder="1"/>
    <xf numFmtId="167" fontId="35" fillId="0" borderId="5" xfId="0" applyNumberFormat="1" applyFont="1" applyBorder="1"/>
    <xf numFmtId="1" fontId="35" fillId="0" borderId="14" xfId="0" applyNumberFormat="1" applyFont="1" applyBorder="1" applyAlignment="1">
      <alignment horizontal="right"/>
    </xf>
    <xf numFmtId="1" fontId="35" fillId="0" borderId="19" xfId="0" applyNumberFormat="1" applyFont="1" applyBorder="1" applyAlignment="1">
      <alignment horizontal="left"/>
    </xf>
    <xf numFmtId="49" fontId="35" fillId="0" borderId="20" xfId="0" applyNumberFormat="1" applyFont="1" applyBorder="1"/>
    <xf numFmtId="172" fontId="35" fillId="0" borderId="20" xfId="0" applyNumberFormat="1" applyFont="1" applyBorder="1"/>
    <xf numFmtId="1" fontId="35" fillId="0" borderId="20" xfId="0" applyNumberFormat="1" applyFont="1" applyBorder="1"/>
    <xf numFmtId="167" fontId="35" fillId="0" borderId="20" xfId="0" applyNumberFormat="1" applyFont="1" applyBorder="1"/>
    <xf numFmtId="1" fontId="35" fillId="0" borderId="21" xfId="0" applyNumberFormat="1" applyFont="1" applyBorder="1" applyAlignment="1">
      <alignment horizontal="right"/>
    </xf>
    <xf numFmtId="49" fontId="7" fillId="27" borderId="0" xfId="0" applyNumberFormat="1" applyFont="1" applyFill="1" applyBorder="1"/>
    <xf numFmtId="0" fontId="0" fillId="31" borderId="5" xfId="0" applyFill="1" applyBorder="1"/>
    <xf numFmtId="49" fontId="0" fillId="31" borderId="5" xfId="0" applyNumberFormat="1" applyFont="1" applyFill="1" applyBorder="1"/>
    <xf numFmtId="0" fontId="36" fillId="32" borderId="15" xfId="0" applyFont="1" applyFill="1" applyBorder="1" applyAlignment="1">
      <alignment horizontal="center"/>
    </xf>
    <xf numFmtId="0" fontId="36" fillId="32" borderId="16"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0" xfId="0" applyBorder="1"/>
    <xf numFmtId="49" fontId="0" fillId="0" borderId="0" xfId="0" applyNumberFormat="1" applyFont="1" applyBorder="1"/>
    <xf numFmtId="49" fontId="21" fillId="33" borderId="0" xfId="0" applyNumberFormat="1" applyFont="1" applyFill="1" applyAlignment="1">
      <alignment vertical="center"/>
    </xf>
    <xf numFmtId="0" fontId="0" fillId="0" borderId="0" xfId="0" applyAlignment="1"/>
    <xf numFmtId="0" fontId="0" fillId="0" borderId="0" xfId="0" applyAlignment="1">
      <alignment horizontal="right"/>
    </xf>
    <xf numFmtId="0" fontId="0" fillId="0" borderId="0" xfId="0" applyAlignment="1">
      <alignment horizontal="left" indent="2"/>
    </xf>
    <xf numFmtId="0" fontId="0" fillId="28" borderId="0" xfId="0" applyFill="1" applyAlignment="1">
      <alignment horizontal="left" indent="2"/>
    </xf>
    <xf numFmtId="0" fontId="0" fillId="33" borderId="0" xfId="0" applyFill="1" applyAlignment="1">
      <alignment horizontal="left" indent="2"/>
    </xf>
    <xf numFmtId="168" fontId="0" fillId="33" borderId="0" xfId="0" applyNumberFormat="1" applyFill="1"/>
    <xf numFmtId="0" fontId="0" fillId="33" borderId="0" xfId="0" applyFill="1"/>
    <xf numFmtId="174" fontId="25" fillId="28" borderId="0" xfId="0" applyNumberFormat="1" applyFont="1" applyFill="1" applyAlignment="1">
      <alignment horizontal="left"/>
    </xf>
    <xf numFmtId="174" fontId="0" fillId="0" borderId="0" xfId="0" applyNumberFormat="1" applyAlignment="1">
      <alignment horizontal="left"/>
    </xf>
    <xf numFmtId="173" fontId="35" fillId="0" borderId="5" xfId="0" applyNumberFormat="1" applyFont="1" applyBorder="1"/>
    <xf numFmtId="173" fontId="35" fillId="0" borderId="20" xfId="0" applyNumberFormat="1" applyFont="1" applyBorder="1"/>
    <xf numFmtId="168" fontId="0" fillId="34" borderId="0" xfId="0" applyNumberFormat="1" applyFill="1" applyAlignment="1"/>
    <xf numFmtId="0" fontId="0" fillId="35" borderId="0" xfId="0" applyFill="1"/>
    <xf numFmtId="175" fontId="0" fillId="0" borderId="0" xfId="0" applyNumberFormat="1"/>
    <xf numFmtId="0" fontId="20" fillId="36" borderId="0" xfId="0" applyFont="1" applyFill="1" applyBorder="1" applyAlignment="1">
      <alignment vertical="center"/>
    </xf>
    <xf numFmtId="0" fontId="36" fillId="32" borderId="14" xfId="0" applyFont="1" applyFill="1" applyBorder="1" applyAlignment="1">
      <alignment horizontal="left" vertical="top"/>
    </xf>
    <xf numFmtId="0" fontId="34" fillId="38" borderId="18" xfId="0" applyNumberFormat="1" applyFont="1" applyFill="1" applyBorder="1" applyAlignment="1">
      <alignment horizontal="center"/>
    </xf>
    <xf numFmtId="0" fontId="11" fillId="38" borderId="0" xfId="0" applyFont="1" applyFill="1" applyAlignment="1">
      <alignment horizontal="left"/>
    </xf>
    <xf numFmtId="173" fontId="11" fillId="38" borderId="0" xfId="0" applyNumberFormat="1" applyFont="1" applyFill="1"/>
    <xf numFmtId="49" fontId="22" fillId="35" borderId="0" xfId="0" applyNumberFormat="1" applyFont="1" applyFill="1"/>
    <xf numFmtId="0" fontId="22" fillId="35" borderId="0" xfId="0" applyFont="1" applyFill="1"/>
    <xf numFmtId="49" fontId="2" fillId="35" borderId="0" xfId="0" applyNumberFormat="1" applyFont="1" applyFill="1" applyAlignment="1">
      <alignment horizontal="left"/>
    </xf>
    <xf numFmtId="0" fontId="2" fillId="35" borderId="0" xfId="0" applyFont="1" applyFill="1"/>
    <xf numFmtId="49" fontId="2" fillId="35" borderId="0" xfId="0" applyNumberFormat="1" applyFont="1" applyFill="1"/>
    <xf numFmtId="49" fontId="34" fillId="35" borderId="0" xfId="0" applyNumberFormat="1" applyFont="1" applyFill="1"/>
    <xf numFmtId="49" fontId="39" fillId="35" borderId="0" xfId="0" applyNumberFormat="1" applyFont="1" applyFill="1"/>
    <xf numFmtId="0" fontId="22" fillId="35" borderId="0" xfId="0" applyNumberFormat="1" applyFont="1" applyFill="1"/>
    <xf numFmtId="0" fontId="2" fillId="35" borderId="7" xfId="0" applyNumberFormat="1" applyFont="1" applyFill="1" applyBorder="1"/>
    <xf numFmtId="0" fontId="2" fillId="35" borderId="8" xfId="0" applyNumberFormat="1" applyFont="1" applyFill="1" applyBorder="1" applyAlignment="1">
      <alignment horizontal="center"/>
    </xf>
    <xf numFmtId="1" fontId="2" fillId="35" borderId="0" xfId="0" applyNumberFormat="1" applyFont="1" applyFill="1" applyAlignment="1">
      <alignment horizontal="center"/>
    </xf>
    <xf numFmtId="172" fontId="2" fillId="35" borderId="0" xfId="43" applyNumberFormat="1" applyFont="1" applyFill="1" applyAlignment="1">
      <alignment horizontal="center"/>
    </xf>
    <xf numFmtId="0" fontId="2" fillId="35" borderId="0" xfId="0" applyNumberFormat="1" applyFont="1" applyFill="1" applyAlignment="1">
      <alignment horizontal="center"/>
    </xf>
    <xf numFmtId="172" fontId="2" fillId="35" borderId="0" xfId="0" applyNumberFormat="1" applyFont="1" applyFill="1" applyAlignment="1">
      <alignment horizontal="center"/>
    </xf>
    <xf numFmtId="0" fontId="2" fillId="35" borderId="0" xfId="0" applyNumberFormat="1" applyFont="1" applyFill="1" applyBorder="1" applyAlignment="1">
      <alignment horizontal="left"/>
    </xf>
    <xf numFmtId="49" fontId="0" fillId="35" borderId="0" xfId="0" applyNumberFormat="1" applyFont="1" applyFill="1" applyBorder="1"/>
    <xf numFmtId="0" fontId="0" fillId="35" borderId="0" xfId="0" applyFill="1" applyAlignment="1">
      <alignment horizontal="left"/>
    </xf>
    <xf numFmtId="173" fontId="0" fillId="35" borderId="0" xfId="0" applyNumberFormat="1" applyFill="1"/>
    <xf numFmtId="0" fontId="30" fillId="37" borderId="0" xfId="0" applyFont="1" applyFill="1"/>
    <xf numFmtId="1" fontId="3" fillId="37" borderId="6" xfId="0" applyNumberFormat="1" applyFont="1" applyFill="1" applyBorder="1" applyAlignment="1">
      <alignment horizontal="center" vertical="center" wrapText="1"/>
    </xf>
    <xf numFmtId="49" fontId="3" fillId="37" borderId="17" xfId="0" applyNumberFormat="1" applyFont="1" applyFill="1" applyBorder="1" applyAlignment="1">
      <alignment horizontal="center" vertical="center" wrapText="1"/>
    </xf>
    <xf numFmtId="172" fontId="3" fillId="37" borderId="17" xfId="33" applyNumberFormat="1" applyFont="1" applyFill="1" applyBorder="1" applyAlignment="1">
      <alignment horizontal="center" vertical="center" wrapText="1"/>
    </xf>
    <xf numFmtId="1" fontId="3" fillId="37" borderId="17" xfId="0" applyNumberFormat="1" applyFont="1" applyFill="1" applyBorder="1" applyAlignment="1">
      <alignment horizontal="center" vertical="center" wrapText="1"/>
    </xf>
    <xf numFmtId="172" fontId="3" fillId="37" borderId="17" xfId="0" applyNumberFormat="1" applyFont="1" applyFill="1" applyBorder="1" applyAlignment="1">
      <alignment horizontal="center" vertical="center" wrapText="1"/>
    </xf>
    <xf numFmtId="167" fontId="3" fillId="37" borderId="17" xfId="0" applyNumberFormat="1" applyFont="1" applyFill="1" applyBorder="1" applyAlignment="1">
      <alignment horizontal="center" vertical="center" wrapText="1"/>
    </xf>
    <xf numFmtId="1" fontId="3" fillId="37" borderId="18" xfId="0" applyNumberFormat="1" applyFont="1" applyFill="1" applyBorder="1" applyAlignment="1">
      <alignment horizontal="center" vertical="center" wrapText="1"/>
    </xf>
    <xf numFmtId="1" fontId="3" fillId="37" borderId="7" xfId="0" applyNumberFormat="1" applyFont="1" applyFill="1" applyBorder="1" applyAlignment="1">
      <alignment horizontal="center" vertical="center" wrapText="1"/>
    </xf>
    <xf numFmtId="0" fontId="31" fillId="38" borderId="0" xfId="0" applyFont="1" applyFill="1"/>
    <xf numFmtId="0" fontId="32" fillId="38" borderId="0" xfId="0" applyFont="1" applyFill="1"/>
    <xf numFmtId="3" fontId="31" fillId="38" borderId="23" xfId="0" applyNumberFormat="1" applyFont="1" applyFill="1" applyBorder="1"/>
    <xf numFmtId="0" fontId="0" fillId="38" borderId="0" xfId="0" applyFont="1" applyFill="1"/>
    <xf numFmtId="14" fontId="3" fillId="37" borderId="17" xfId="0" applyNumberFormat="1" applyFont="1" applyFill="1" applyBorder="1" applyAlignment="1">
      <alignment horizontal="center" vertical="center" wrapText="1"/>
    </xf>
    <xf numFmtId="14" fontId="35" fillId="0" borderId="5" xfId="0" applyNumberFormat="1" applyFont="1" applyBorder="1" applyAlignment="1">
      <alignment horizontal="right" vertical="center"/>
    </xf>
    <xf numFmtId="14" fontId="35" fillId="0" borderId="20" xfId="0" applyNumberFormat="1" applyFont="1" applyBorder="1" applyAlignment="1">
      <alignment horizontal="right" vertical="center"/>
    </xf>
    <xf numFmtId="49" fontId="35" fillId="0" borderId="18" xfId="0" applyNumberFormat="1" applyFont="1" applyBorder="1" applyAlignment="1">
      <alignment horizontal="right"/>
    </xf>
    <xf numFmtId="0" fontId="40" fillId="0" borderId="0" xfId="0" applyFont="1"/>
    <xf numFmtId="0" fontId="42" fillId="38" borderId="0" xfId="0" applyFont="1" applyFill="1" applyAlignment="1">
      <alignment horizontal="center" vertical="center"/>
    </xf>
    <xf numFmtId="0" fontId="40" fillId="0" borderId="0" xfId="0" applyFont="1" applyAlignment="1">
      <alignment vertical="top" wrapText="1"/>
    </xf>
    <xf numFmtId="0" fontId="40" fillId="0" borderId="0" xfId="0" applyFont="1" applyAlignment="1">
      <alignment vertical="top"/>
    </xf>
    <xf numFmtId="0" fontId="43" fillId="0" borderId="0" xfId="0" applyFont="1" applyAlignment="1">
      <alignment vertical="top" wrapText="1"/>
    </xf>
    <xf numFmtId="49" fontId="40" fillId="0" borderId="0" xfId="0" applyNumberFormat="1" applyFont="1" applyAlignment="1">
      <alignment vertical="top"/>
    </xf>
    <xf numFmtId="2" fontId="23" fillId="38" borderId="22" xfId="0" applyNumberFormat="1" applyFont="1" applyFill="1" applyBorder="1" applyAlignment="1">
      <alignment horizontal="center" vertical="center"/>
    </xf>
    <xf numFmtId="2" fontId="23" fillId="38" borderId="0" xfId="0" applyNumberFormat="1" applyFont="1" applyFill="1" applyBorder="1" applyAlignment="1">
      <alignment horizontal="center" vertical="center"/>
    </xf>
    <xf numFmtId="49" fontId="21" fillId="36" borderId="0" xfId="0" applyNumberFormat="1" applyFont="1" applyFill="1" applyAlignment="1">
      <alignment horizontal="left" vertical="top" wrapText="1"/>
    </xf>
    <xf numFmtId="49" fontId="21" fillId="36" borderId="0" xfId="0" applyNumberFormat="1" applyFont="1" applyFill="1" applyAlignment="1">
      <alignment horizontal="left" vertical="center"/>
    </xf>
    <xf numFmtId="49" fontId="21" fillId="36" borderId="0" xfId="0" applyNumberFormat="1" applyFont="1" applyFill="1" applyAlignment="1">
      <alignment horizontal="left" vertical="center" wrapText="1"/>
    </xf>
    <xf numFmtId="1" fontId="20" fillId="35" borderId="0" xfId="0" applyNumberFormat="1" applyFont="1" applyFill="1" applyAlignment="1">
      <alignment horizontal="center"/>
    </xf>
    <xf numFmtId="0" fontId="0" fillId="35" borderId="0" xfId="0" applyNumberFormat="1" applyFill="1" applyBorder="1" applyAlignment="1">
      <alignment horizontal="center"/>
    </xf>
    <xf numFmtId="0" fontId="11" fillId="27" borderId="0" xfId="0" applyNumberFormat="1" applyFont="1" applyFill="1" applyBorder="1" applyAlignment="1">
      <alignment horizontal="center"/>
    </xf>
    <xf numFmtId="0" fontId="7" fillId="37" borderId="0" xfId="0" applyFont="1" applyFill="1" applyAlignment="1">
      <alignment horizontal="center"/>
    </xf>
    <xf numFmtId="0" fontId="38" fillId="37" borderId="0" xfId="0" applyFont="1" applyFill="1" applyAlignment="1">
      <alignment horizontal="center"/>
    </xf>
    <xf numFmtId="1" fontId="20" fillId="35" borderId="0" xfId="0" applyNumberFormat="1" applyFont="1" applyFill="1" applyBorder="1" applyAlignment="1">
      <alignment horizontal="right"/>
    </xf>
    <xf numFmtId="49" fontId="20" fillId="35" borderId="0" xfId="0" applyNumberFormat="1" applyFont="1" applyFill="1" applyBorder="1" applyAlignment="1">
      <alignment horizontal="right"/>
    </xf>
    <xf numFmtId="172" fontId="20" fillId="35" borderId="0" xfId="0" applyNumberFormat="1" applyFont="1" applyFill="1" applyBorder="1" applyAlignment="1">
      <alignment horizontal="right"/>
    </xf>
    <xf numFmtId="0" fontId="21" fillId="37" borderId="0" xfId="0" applyNumberFormat="1" applyFont="1" applyFill="1" applyAlignment="1">
      <alignment horizontal="left" vertical="center"/>
    </xf>
    <xf numFmtId="0" fontId="21" fillId="38" borderId="0" xfId="0" applyNumberFormat="1" applyFont="1" applyFill="1" applyBorder="1" applyAlignment="1">
      <alignment horizontal="left" vertical="center"/>
    </xf>
    <xf numFmtId="0" fontId="21" fillId="38" borderId="0" xfId="0" applyNumberFormat="1" applyFont="1" applyFill="1" applyAlignment="1">
      <alignment horizontal="left" vertical="center"/>
    </xf>
    <xf numFmtId="0" fontId="7" fillId="27" borderId="0" xfId="0" applyNumberFormat="1" applyFont="1" applyFill="1" applyBorder="1" applyAlignment="1">
      <alignment horizontal="center"/>
    </xf>
    <xf numFmtId="49" fontId="21" fillId="36" borderId="7" xfId="0" applyNumberFormat="1" applyFont="1" applyFill="1" applyBorder="1" applyAlignment="1">
      <alignment horizontal="left" vertical="center"/>
    </xf>
    <xf numFmtId="0" fontId="0" fillId="30" borderId="14" xfId="0" applyFill="1" applyBorder="1" applyAlignment="1">
      <alignment horizontal="center"/>
    </xf>
    <xf numFmtId="0" fontId="0" fillId="30" borderId="16" xfId="0" applyFill="1" applyBorder="1" applyAlignment="1">
      <alignment horizontal="center"/>
    </xf>
    <xf numFmtId="49" fontId="37" fillId="37" borderId="0" xfId="0" applyNumberFormat="1" applyFont="1" applyFill="1" applyAlignment="1">
      <alignment horizontal="center" vertical="center"/>
    </xf>
    <xf numFmtId="0" fontId="21" fillId="37" borderId="0" xfId="0" applyNumberFormat="1" applyFont="1" applyFill="1" applyAlignment="1">
      <alignment horizontal="center" vertical="center"/>
    </xf>
    <xf numFmtId="0" fontId="24" fillId="37" borderId="0" xfId="0" applyNumberFormat="1" applyFont="1" applyFill="1" applyAlignment="1">
      <alignment horizontal="left" vertical="center"/>
    </xf>
  </cellXfs>
  <cellStyles count="44">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23" builtinId="16" customBuiltin="1"/>
    <cellStyle name="Encabezado 4" xfId="24" builtinId="19" customBuiltin="1"/>
    <cellStyle name="Énfasis1" xfId="25" builtinId="29" customBuiltin="1"/>
    <cellStyle name="Énfasis2" xfId="26" builtinId="33" customBuiltin="1"/>
    <cellStyle name="Énfasis3" xfId="27" builtinId="37" customBuiltin="1"/>
    <cellStyle name="Énfasis4" xfId="28" builtinId="41" customBuiltin="1"/>
    <cellStyle name="Énfasis5" xfId="29" builtinId="45" customBuiltin="1"/>
    <cellStyle name="Énfasis6" xfId="30" builtinId="49" customBuiltin="1"/>
    <cellStyle name="Entrada" xfId="31" builtinId="20" customBuiltin="1"/>
    <cellStyle name="Incorrecto" xfId="32" builtinId="27" customBuiltin="1"/>
    <cellStyle name="Moneda" xfId="33" builtinId="4"/>
    <cellStyle name="Neutral" xfId="34" builtinId="28" customBuiltin="1"/>
    <cellStyle name="Normal" xfId="0" builtinId="0"/>
    <cellStyle name="Notas" xfId="35" builtinId="10" customBuiltin="1"/>
    <cellStyle name="Porcentaje" xfId="43" builtinId="5"/>
    <cellStyle name="Salida" xfId="36" builtinId="21" customBuiltin="1"/>
    <cellStyle name="Texto de advertencia" xfId="37" builtinId="11" customBuiltin="1"/>
    <cellStyle name="Texto explicativo" xfId="38" builtinId="53" customBuiltin="1"/>
    <cellStyle name="Título" xfId="39" builtinId="15" customBuiltin="1"/>
    <cellStyle name="Título 2" xfId="40" builtinId="17" customBuiltin="1"/>
    <cellStyle name="Título 3" xfId="41" builtinId="18" customBuiltin="1"/>
    <cellStyle name="Total" xfId="42" builtinId="25" customBuiltin="1"/>
  </cellStyles>
  <dxfs count="113">
    <dxf>
      <numFmt numFmtId="173" formatCode="#,##0\ [$€-C0A]"/>
    </dxf>
    <dxf>
      <numFmt numFmtId="169" formatCode="&quot;$&quot;\ #,##0"/>
    </dxf>
    <dxf>
      <alignment horizontal="center"/>
    </dxf>
    <dxf>
      <numFmt numFmtId="165" formatCode="&quot;$&quot;\ #,##0.00"/>
    </dxf>
    <dxf>
      <numFmt numFmtId="168" formatCode="_(* #,##0_);_(* \(#,##0\);_(* &quot;-&quot;??_);_(@_)"/>
    </dxf>
    <dxf>
      <numFmt numFmtId="175" formatCode="_([$€-2]\ * #_);_([$€-2]\ * \(#\);_([$€-2]\ * &quot;-&quot;??_);_(@_)"/>
    </dxf>
    <dxf>
      <numFmt numFmtId="168" formatCode="_(* #,##0_);_(* \(#,##0\);_(* &quot;-&quot;??_);_(@_)"/>
    </dxf>
    <dxf>
      <alignment horizontal="right"/>
    </dxf>
    <dxf>
      <numFmt numFmtId="173" formatCode="#,##0\ [$€-C0A]"/>
    </dxf>
    <dxf>
      <alignment horizontal="center"/>
    </dxf>
    <dxf>
      <numFmt numFmtId="168" formatCode="_(* #,##0_);_(* \(#,##0\);_(* &quot;-&quot;??_);_(@_)"/>
    </dxf>
    <dxf>
      <numFmt numFmtId="165" formatCode="&quot;$&quot;\ #,##0.00"/>
    </dxf>
    <dxf>
      <fill>
        <patternFill>
          <bgColor rgb="FFF0EEED"/>
        </patternFill>
      </fill>
    </dxf>
    <dxf>
      <fill>
        <patternFill>
          <bgColor rgb="FFF0EEED"/>
        </patternFill>
      </fill>
    </dxf>
    <dxf>
      <fill>
        <patternFill>
          <bgColor rgb="FFC92C6D"/>
        </patternFill>
      </fill>
    </dxf>
    <dxf>
      <fill>
        <patternFill>
          <bgColor rgb="FFC92C6D"/>
        </patternFill>
      </fill>
    </dxf>
    <dxf>
      <alignment horizontal="center"/>
    </dxf>
    <dxf>
      <numFmt numFmtId="173" formatCode="#,##0\ [$€-C0A]"/>
    </dxf>
    <dxf>
      <font>
        <color theme="0"/>
      </font>
    </dxf>
    <dxf>
      <font>
        <color theme="0"/>
      </font>
    </dxf>
    <dxf>
      <fill>
        <patternFill>
          <bgColor rgb="FF0070C0"/>
        </patternFill>
      </fill>
    </dxf>
    <dxf>
      <fill>
        <patternFill>
          <bgColor rgb="FF0070C0"/>
        </patternFill>
      </fill>
    </dxf>
    <dxf>
      <fill>
        <patternFill patternType="solid">
          <bgColor rgb="FF00BDA2"/>
        </patternFill>
      </fill>
    </dxf>
    <dxf>
      <fill>
        <patternFill patternType="solid">
          <bgColor rgb="FF00BDA2"/>
        </patternFill>
      </fill>
    </dxf>
    <dxf>
      <fill>
        <patternFill patternType="solid">
          <bgColor rgb="FF00BDA2"/>
        </patternFill>
      </fill>
    </dxf>
    <dxf>
      <fill>
        <patternFill patternType="solid">
          <bgColor rgb="FF00BDA2"/>
        </patternFill>
      </fill>
    </dxf>
    <dxf>
      <fill>
        <patternFill patternType="solid">
          <bgColor rgb="FF00BDA2"/>
        </patternFill>
      </fill>
    </dxf>
    <dxf>
      <fill>
        <patternFill patternType="solid">
          <bgColor rgb="FF00BDA2"/>
        </patternFill>
      </fill>
    </dxf>
    <dxf>
      <numFmt numFmtId="173" formatCode="#,##0\ [$€-C0A]"/>
    </dxf>
    <dxf>
      <numFmt numFmtId="168" formatCode="_(* #,##0_);_(* \(#,##0\);_(* &quot;-&quot;??_);_(@_)"/>
    </dxf>
    <dxf>
      <numFmt numFmtId="173" formatCode="#,##0\ [$€-C0A]"/>
    </dxf>
    <dxf>
      <numFmt numFmtId="171" formatCode="[$€-2]\ #,##0"/>
    </dxf>
    <dxf>
      <numFmt numFmtId="168" formatCode="_(* #,##0_);_(* \(#,##0\);_(* &quot;-&quot;??_);_(@_)"/>
    </dxf>
    <dxf>
      <alignment horizontal="center"/>
    </dxf>
    <dxf>
      <alignment horizontal="center"/>
    </dxf>
    <dxf>
      <alignment wrapText="1"/>
    </dxf>
    <dxf>
      <alignment wrapText="1"/>
    </dxf>
    <dxf>
      <font>
        <b/>
      </font>
    </dxf>
    <dxf>
      <font>
        <b/>
      </font>
    </dxf>
    <dxf>
      <numFmt numFmtId="168" formatCode="_(* #,##0_);_(* \(#,##0\);_(* &quot;-&quot;??_);_(@_)"/>
    </dxf>
    <dxf>
      <numFmt numFmtId="168" formatCode="_(* #,##0_);_(* \(#,##0\);_(* &quot;-&quot;??_);_(@_)"/>
    </dxf>
    <dxf>
      <numFmt numFmtId="168" formatCode="_(* #,##0_);_(* \(#,##0\);_(* &quot;-&quot;??_);_(@_)"/>
    </dxf>
    <dxf>
      <numFmt numFmtId="168" formatCode="_(* #,##0_);_(* \(#,##0\);_(* &quot;-&quot;??_);_(@_)"/>
    </dxf>
    <dxf>
      <alignment horizontal="center"/>
    </dxf>
    <dxf>
      <fill>
        <patternFill>
          <bgColor theme="0"/>
        </patternFill>
      </fill>
    </dxf>
    <dxf>
      <fill>
        <patternFill>
          <bgColor theme="0"/>
        </patternFill>
      </fill>
    </dxf>
    <dxf>
      <fill>
        <patternFill patternType="solid">
          <fgColor indexed="64"/>
          <bgColor theme="9" tint="0.59999389629810485"/>
        </patternFill>
      </fill>
    </dxf>
    <dxf>
      <fill>
        <patternFill patternType="solid">
          <fgColor indexed="64"/>
          <bgColor theme="9" tint="0.59999389629810485"/>
        </patternFill>
      </fill>
    </dxf>
    <dxf>
      <fill>
        <patternFill>
          <bgColor theme="9" tint="0.59999389629810485"/>
        </patternFill>
      </fill>
    </dxf>
    <dxf>
      <numFmt numFmtId="168" formatCode="_(* #,##0_);_(* \(#,##0\);_(* &quot;-&quot;??_);_(@_)"/>
      <fill>
        <patternFill>
          <fgColor theme="0"/>
        </patternFill>
      </fill>
      <alignment horizontal="general" vertical="bottom" textRotation="0" wrapText="0" indent="0" justifyLastLine="0" shrinkToFit="0" readingOrder="0"/>
    </dxf>
    <dxf>
      <fill>
        <patternFill>
          <bgColor theme="0"/>
        </patternFill>
      </fill>
    </dxf>
    <dxf>
      <fill>
        <patternFill>
          <bgColor theme="0"/>
        </patternFill>
      </fill>
    </dxf>
    <dxf>
      <fill>
        <patternFill patternType="solid">
          <fgColor indexed="64"/>
          <bgColor theme="9" tint="0.59999389629810485"/>
        </patternFill>
      </fill>
    </dxf>
    <dxf>
      <fill>
        <patternFill patternType="solid">
          <fgColor indexed="64"/>
          <bgColor theme="9" tint="0.59999389629810485"/>
        </patternFill>
      </fill>
    </dxf>
    <dxf>
      <numFmt numFmtId="168" formatCode="_(* #,##0_);_(* \(#,##0\);_(* &quot;-&quot;??_);_(@_)"/>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68" formatCode="_(* #,##0_);_(* \(#,##0\);_(* &quot;-&quot;??_);_(@_)"/>
    </dxf>
    <dxf>
      <numFmt numFmtId="165" formatCode="&quot;$&quot;\ #,##0.00"/>
    </dxf>
    <dxf>
      <numFmt numFmtId="173" formatCode="#,##0\ [$€-C0A]"/>
    </dxf>
    <dxf>
      <numFmt numFmtId="171" formatCode="[$€-2]\ #,##0"/>
    </dxf>
    <dxf>
      <numFmt numFmtId="171" formatCode="[$€-2]\ #,##0"/>
    </dxf>
    <dxf>
      <numFmt numFmtId="171" formatCode="[$€-2]\ #,##0"/>
    </dxf>
    <dxf>
      <numFmt numFmtId="171" formatCode="[$€-2]\ #,##0"/>
    </dxf>
    <dxf>
      <numFmt numFmtId="171" formatCode="[$€-2]\ #,##0"/>
    </dxf>
    <dxf>
      <numFmt numFmtId="171" formatCode="[$€-2]\ #,##0"/>
    </dxf>
    <dxf>
      <numFmt numFmtId="171" formatCode="[$€-2]\ #,##0"/>
    </dxf>
    <dxf>
      <alignment horizontal="center"/>
    </dxf>
    <dxf>
      <numFmt numFmtId="1" formatCode="0"/>
    </dxf>
    <dxf>
      <alignment horizontal="center"/>
    </dxf>
    <dxf>
      <numFmt numFmtId="174" formatCode="[$-2C0A]h:mm:ss\ AM/PM;@"/>
    </dxf>
    <dxf>
      <numFmt numFmtId="173" formatCode="#,##0\ [$€-C0A]"/>
    </dxf>
    <dxf>
      <font>
        <b/>
      </font>
    </dxf>
    <dxf>
      <font>
        <color theme="9" tint="-0.499984740745262"/>
      </font>
    </dxf>
    <dxf>
      <fill>
        <patternFill patternType="solid">
          <bgColor theme="9" tint="0.59999389629810485"/>
        </patternFill>
      </fill>
    </dxf>
    <dxf>
      <font>
        <b val="0"/>
        <i val="0"/>
        <strike val="0"/>
        <condense val="0"/>
        <extend val="0"/>
        <outline val="0"/>
        <shadow val="0"/>
        <u val="none"/>
        <vertAlign val="baseline"/>
        <sz val="12"/>
        <color theme="1"/>
        <name val="Calibri"/>
        <family val="2"/>
        <scheme val="minor"/>
      </font>
      <numFmt numFmtId="171" formatCode="[$€-2]\ #,##0"/>
      <fill>
        <patternFill patternType="none">
          <fgColor indexed="64"/>
          <bgColor indexed="65"/>
        </patternFill>
      </fill>
    </dxf>
    <dxf>
      <numFmt numFmtId="169" formatCode="&quot;$&quot;\ #,##0"/>
    </dxf>
    <dxf>
      <alignment horizontal="center"/>
    </dxf>
    <dxf>
      <font>
        <color theme="9" tint="-0.499984740745262"/>
      </font>
    </dxf>
    <dxf>
      <fill>
        <patternFill patternType="solid">
          <bgColor theme="9" tint="0.59999389629810485"/>
        </patternFill>
      </fill>
    </dxf>
    <dxf>
      <font>
        <color theme="9" tint="-0.499984740745262"/>
      </font>
    </dxf>
    <dxf>
      <fill>
        <patternFill patternType="solid">
          <bgColor theme="9" tint="0.59999389629810485"/>
        </patternFill>
      </fill>
    </dxf>
    <dxf>
      <font>
        <b/>
      </font>
    </dxf>
    <dxf>
      <numFmt numFmtId="165" formatCode="&quot;$&quot;\ #,##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4"/>
        <color theme="1"/>
        <name val="Calibri"/>
        <family val="2"/>
        <scheme val="minor"/>
      </font>
      <numFmt numFmtId="30" formatCode="@"/>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 formatCode="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67" formatCode="[$-F400]h:mm:ss\ AM/PM"/>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76" formatCode="m/d/yy"/>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73" formatCode="#,##0\ [$€-C0A]"/>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72" formatCode="#,##0.00\ [$€-C0A]"/>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numFmt numFmtId="1" formatCode="0"/>
      <alignment horizontal="left"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dxf>
    <dxf>
      <border outline="0">
        <bottom style="thin">
          <color indexed="64"/>
        </bottom>
      </border>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EEED"/>
      <color rgb="FFC92C6D"/>
      <color rgb="FF49A0A3"/>
      <color rgb="FF332C39"/>
      <color rgb="FF00BDA2"/>
      <color rgb="FF4DB9DB"/>
      <color rgb="FFFF8AD8"/>
      <color rgb="FFE5C9FE"/>
      <color rgb="FF0093C9"/>
      <color rgb="FF9CFF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pivotSource>
    <c:name>[PF - Lentini .xlsm]Auxiliar!Sucursales que generan mas ventas en precio y cantidad</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b="1"/>
              <a:t>SUCURSALES</a:t>
            </a:r>
            <a:r>
              <a:rPr lang="es-MX" b="1" baseline="0"/>
              <a:t> QUE GENERAN MÁS VENTAS EN PRECIO Y CANTIDAD</a:t>
            </a:r>
            <a:endParaRPr lang="es-MX"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9A0A3"/>
          </a:solidFill>
          <a:ln>
            <a:noFill/>
          </a:ln>
          <a:effectLst/>
        </c:spPr>
        <c:marker>
          <c:symbol val="none"/>
        </c:marker>
        <c:dLbl>
          <c:idx val="0"/>
          <c:numFmt formatCode="#,##0\ [$€-C0A]"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C92C6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Auxiliar!$H$22</c:f>
              <c:strCache>
                <c:ptCount val="1"/>
                <c:pt idx="0">
                  <c:v>Precios unitarios</c:v>
                </c:pt>
              </c:strCache>
            </c:strRef>
          </c:tx>
          <c:spPr>
            <a:solidFill>
              <a:srgbClr val="49A0A3"/>
            </a:solidFill>
            <a:ln>
              <a:noFill/>
            </a:ln>
            <a:effectLst/>
          </c:spPr>
          <c:invertIfNegative val="0"/>
          <c:dLbls>
            <c:numFmt formatCode="#,##0\ [$€-C0A]"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Auxiliar!$G$23:$G$26</c:f>
              <c:strCache>
                <c:ptCount val="3"/>
                <c:pt idx="0">
                  <c:v>Barcelona</c:v>
                </c:pt>
                <c:pt idx="1">
                  <c:v>Madrid</c:v>
                </c:pt>
                <c:pt idx="2">
                  <c:v>Valencia</c:v>
                </c:pt>
              </c:strCache>
            </c:strRef>
          </c:cat>
          <c:val>
            <c:numRef>
              <c:f>Auxiliar!$H$23:$H$26</c:f>
              <c:numCache>
                <c:formatCode>#,##0\ [$€-C0A]</c:formatCode>
                <c:ptCount val="3"/>
                <c:pt idx="0">
                  <c:v>18625.490000000023</c:v>
                </c:pt>
                <c:pt idx="1">
                  <c:v>18440.980000000007</c:v>
                </c:pt>
                <c:pt idx="2">
                  <c:v>18605.659999999993</c:v>
                </c:pt>
              </c:numCache>
            </c:numRef>
          </c:val>
          <c:extLst>
            <c:ext xmlns:c16="http://schemas.microsoft.com/office/drawing/2014/chart" uri="{C3380CC4-5D6E-409C-BE32-E72D297353CC}">
              <c16:uniqueId val="{00000000-0FBA-1049-B4E5-41E6E2C5F40F}"/>
            </c:ext>
          </c:extLst>
        </c:ser>
        <c:ser>
          <c:idx val="1"/>
          <c:order val="1"/>
          <c:tx>
            <c:strRef>
              <c:f>Auxiliar!$I$22</c:f>
              <c:strCache>
                <c:ptCount val="1"/>
                <c:pt idx="0">
                  <c:v>Cantidades</c:v>
                </c:pt>
              </c:strCache>
            </c:strRef>
          </c:tx>
          <c:spPr>
            <a:solidFill>
              <a:srgbClr val="C92C6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Auxiliar!$G$23:$G$26</c:f>
              <c:strCache>
                <c:ptCount val="3"/>
                <c:pt idx="0">
                  <c:v>Barcelona</c:v>
                </c:pt>
                <c:pt idx="1">
                  <c:v>Madrid</c:v>
                </c:pt>
                <c:pt idx="2">
                  <c:v>Valencia</c:v>
                </c:pt>
              </c:strCache>
            </c:strRef>
          </c:cat>
          <c:val>
            <c:numRef>
              <c:f>Auxiliar!$I$23:$I$26</c:f>
              <c:numCache>
                <c:formatCode>_(* #,##0_);_(* \(#,##0\);_(* "-"??_);_(@_)</c:formatCode>
                <c:ptCount val="3"/>
                <c:pt idx="0">
                  <c:v>1859</c:v>
                </c:pt>
                <c:pt idx="1">
                  <c:v>1774</c:v>
                </c:pt>
                <c:pt idx="2">
                  <c:v>1877</c:v>
                </c:pt>
              </c:numCache>
            </c:numRef>
          </c:val>
          <c:extLst>
            <c:ext xmlns:c16="http://schemas.microsoft.com/office/drawing/2014/chart" uri="{C3380CC4-5D6E-409C-BE32-E72D297353CC}">
              <c16:uniqueId val="{00000001-0FBA-1049-B4E5-41E6E2C5F40F}"/>
            </c:ext>
          </c:extLst>
        </c:ser>
        <c:dLbls>
          <c:showLegendKey val="0"/>
          <c:showVal val="0"/>
          <c:showCatName val="0"/>
          <c:showSerName val="0"/>
          <c:showPercent val="0"/>
          <c:showBubbleSize val="0"/>
        </c:dLbls>
        <c:gapWidth val="55"/>
        <c:overlap val="100"/>
        <c:axId val="557863616"/>
        <c:axId val="558081664"/>
      </c:barChart>
      <c:catAx>
        <c:axId val="557863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AR"/>
          </a:p>
        </c:txPr>
        <c:crossAx val="558081664"/>
        <c:crosses val="autoZero"/>
        <c:auto val="1"/>
        <c:lblAlgn val="ctr"/>
        <c:lblOffset val="100"/>
        <c:noMultiLvlLbl val="0"/>
      </c:catAx>
      <c:valAx>
        <c:axId val="558081664"/>
        <c:scaling>
          <c:orientation val="minMax"/>
        </c:scaling>
        <c:delete val="1"/>
        <c:axPos val="b"/>
        <c:numFmt formatCode="#,##0\ [$€-C0A]" sourceLinked="1"/>
        <c:majorTickMark val="none"/>
        <c:minorTickMark val="none"/>
        <c:tickLblPos val="nextTo"/>
        <c:crossAx val="557863616"/>
        <c:crosses val="autoZero"/>
        <c:crossBetween val="between"/>
      </c:valAx>
      <c:spPr>
        <a:noFill/>
        <a:ln>
          <a:noFill/>
        </a:ln>
        <a:effectLst/>
      </c:spPr>
    </c:plotArea>
    <c:legend>
      <c:legendPos val="r"/>
      <c:layout>
        <c:manualLayout>
          <c:xMode val="edge"/>
          <c:yMode val="edge"/>
          <c:x val="0.77582502187226599"/>
          <c:y val="0.42828888723815189"/>
          <c:w val="0.1450843734218486"/>
          <c:h val="0.1781940697249958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softEdge rad="1270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pivotSource>
    <c:name>[PF - Lentini .xlsm]Auxiliar!inámica8mes en ventas y cantidades_</c:name>
    <c:fmtId val="1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t>TOTALES FACTURADOS POR MES EN VENTAS Y CANTIDAD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8"/>
        <c:spPr>
          <a:solidFill>
            <a:srgbClr val="49A0A3"/>
          </a:solidFill>
          <a:ln>
            <a:noFill/>
          </a:ln>
          <a:effectLst/>
        </c:spPr>
        <c:marker>
          <c:symbol val="none"/>
        </c:marker>
        <c:dLbl>
          <c:idx val="0"/>
          <c:spPr>
            <a:noFill/>
            <a:ln>
              <a:noFill/>
            </a:ln>
            <a:effectLst/>
          </c:spPr>
          <c:txPr>
            <a:bodyPr rot="0" spcFirstLastPara="1" vertOverflow="overflow" horzOverflow="overflow" vert="horz" wrap="square" lIns="0" tIns="0" rIns="0" bIns="0" anchor="t"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C92C6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0"/>
        <c:spPr>
          <a:solidFill>
            <a:srgbClr val="49A0A3"/>
          </a:solidFill>
          <a:ln>
            <a:noFill/>
          </a:ln>
          <a:effectLst/>
        </c:spPr>
      </c:pivotFmt>
      <c:pivotFmt>
        <c:idx val="11"/>
        <c:spPr>
          <a:solidFill>
            <a:srgbClr val="49A0A3"/>
          </a:solidFill>
          <a:ln>
            <a:noFill/>
          </a:ln>
          <a:effectLst/>
        </c:spPr>
      </c:pivotFmt>
      <c:pivotFmt>
        <c:idx val="12"/>
        <c:spPr>
          <a:solidFill>
            <a:srgbClr val="49A0A3"/>
          </a:solidFill>
          <a:ln>
            <a:noFill/>
          </a:ln>
          <a:effectLst/>
        </c:spPr>
      </c:pivotFmt>
      <c:pivotFmt>
        <c:idx val="13"/>
        <c:spPr>
          <a:solidFill>
            <a:srgbClr val="49A0A3"/>
          </a:solidFill>
          <a:ln>
            <a:noFill/>
          </a:ln>
          <a:effectLst/>
        </c:spPr>
      </c:pivotFmt>
      <c:pivotFmt>
        <c:idx val="14"/>
        <c:spPr>
          <a:solidFill>
            <a:srgbClr val="49A0A3"/>
          </a:solidFill>
          <a:ln>
            <a:noFill/>
          </a:ln>
          <a:effectLst/>
        </c:spPr>
      </c:pivotFmt>
      <c:pivotFmt>
        <c:idx val="15"/>
        <c:spPr>
          <a:solidFill>
            <a:srgbClr val="49A0A3"/>
          </a:solidFill>
          <a:ln>
            <a:noFill/>
          </a:ln>
          <a:effectLst/>
        </c:spPr>
      </c:pivotFmt>
      <c:pivotFmt>
        <c:idx val="16"/>
        <c:spPr>
          <a:solidFill>
            <a:srgbClr val="49A0A3"/>
          </a:solidFill>
          <a:ln>
            <a:noFill/>
          </a:ln>
          <a:effectLst/>
        </c:spPr>
      </c:pivotFmt>
      <c:pivotFmt>
        <c:idx val="17"/>
        <c:spPr>
          <a:solidFill>
            <a:srgbClr val="49A0A3"/>
          </a:solidFill>
          <a:ln>
            <a:noFill/>
          </a:ln>
          <a:effectLst/>
        </c:spPr>
      </c:pivotFmt>
      <c:pivotFmt>
        <c:idx val="18"/>
        <c:spPr>
          <a:solidFill>
            <a:srgbClr val="49A0A3"/>
          </a:solidFill>
          <a:ln>
            <a:noFill/>
          </a:ln>
          <a:effectLst/>
        </c:spPr>
      </c:pivotFmt>
      <c:pivotFmt>
        <c:idx val="19"/>
        <c:spPr>
          <a:solidFill>
            <a:srgbClr val="49A0A3"/>
          </a:solidFill>
          <a:ln>
            <a:noFill/>
          </a:ln>
          <a:effectLst/>
        </c:spPr>
      </c:pivotFmt>
      <c:pivotFmt>
        <c:idx val="20"/>
        <c:spPr>
          <a:solidFill>
            <a:srgbClr val="49A0A3"/>
          </a:solidFill>
          <a:ln>
            <a:noFill/>
          </a:ln>
          <a:effectLst/>
        </c:spPr>
      </c:pivotFmt>
    </c:pivotFmts>
    <c:plotArea>
      <c:layout/>
      <c:barChart>
        <c:barDir val="col"/>
        <c:grouping val="percentStacked"/>
        <c:varyColors val="0"/>
        <c:ser>
          <c:idx val="0"/>
          <c:order val="0"/>
          <c:tx>
            <c:strRef>
              <c:f>Auxiliar!$H$120</c:f>
              <c:strCache>
                <c:ptCount val="1"/>
                <c:pt idx="0">
                  <c:v>VENTAS TOTALES</c:v>
                </c:pt>
              </c:strCache>
            </c:strRef>
          </c:tx>
          <c:spPr>
            <a:solidFill>
              <a:srgbClr val="49A0A3"/>
            </a:solidFill>
            <a:ln>
              <a:noFill/>
            </a:ln>
            <a:effectLst/>
          </c:spPr>
          <c:invertIfNegative val="0"/>
          <c:dLbls>
            <c:spPr>
              <a:noFill/>
              <a:ln>
                <a:noFill/>
              </a:ln>
              <a:effectLst/>
            </c:spPr>
            <c:txPr>
              <a:bodyPr rot="0" spcFirstLastPara="1" vertOverflow="overflow" horzOverflow="overflow" vert="horz" wrap="square" lIns="0" tIns="0" rIns="0" bIns="0" anchor="t"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Auxiliar!$G$121:$G$132</c:f>
              <c:strCache>
                <c:ptCount val="11"/>
                <c:pt idx="0">
                  <c:v>ene</c:v>
                </c:pt>
                <c:pt idx="1">
                  <c:v>feb</c:v>
                </c:pt>
                <c:pt idx="2">
                  <c:v>mar</c:v>
                </c:pt>
                <c:pt idx="3">
                  <c:v>abr</c:v>
                </c:pt>
                <c:pt idx="4">
                  <c:v>may</c:v>
                </c:pt>
                <c:pt idx="5">
                  <c:v>jun</c:v>
                </c:pt>
                <c:pt idx="6">
                  <c:v>ago</c:v>
                </c:pt>
                <c:pt idx="7">
                  <c:v>sep</c:v>
                </c:pt>
                <c:pt idx="8">
                  <c:v>oct</c:v>
                </c:pt>
                <c:pt idx="9">
                  <c:v>nov</c:v>
                </c:pt>
                <c:pt idx="10">
                  <c:v>dic</c:v>
                </c:pt>
              </c:strCache>
            </c:strRef>
          </c:cat>
          <c:val>
            <c:numRef>
              <c:f>Auxiliar!$H$121:$H$132</c:f>
              <c:numCache>
                <c:formatCode>_([$€-2]\ * #_);_([$€-2]\ * \(#\);_([$€-2]\ * "-"??_);_(@_)</c:formatCode>
                <c:ptCount val="11"/>
                <c:pt idx="0">
                  <c:v>108703.01000000005</c:v>
                </c:pt>
                <c:pt idx="1">
                  <c:v>90234.770000000033</c:v>
                </c:pt>
                <c:pt idx="2">
                  <c:v>82370.38999999997</c:v>
                </c:pt>
                <c:pt idx="3">
                  <c:v>3523.9500000000003</c:v>
                </c:pt>
                <c:pt idx="4">
                  <c:v>4373.5700000000006</c:v>
                </c:pt>
                <c:pt idx="5">
                  <c:v>1826.5000000000002</c:v>
                </c:pt>
                <c:pt idx="6">
                  <c:v>6378.1500000000005</c:v>
                </c:pt>
                <c:pt idx="7">
                  <c:v>2739.2099999999996</c:v>
                </c:pt>
                <c:pt idx="8">
                  <c:v>2299.87</c:v>
                </c:pt>
                <c:pt idx="9">
                  <c:v>3387.87</c:v>
                </c:pt>
                <c:pt idx="10">
                  <c:v>1750.0900000000001</c:v>
                </c:pt>
              </c:numCache>
            </c:numRef>
          </c:val>
          <c:extLst>
            <c:ext xmlns:c16="http://schemas.microsoft.com/office/drawing/2014/chart" uri="{C3380CC4-5D6E-409C-BE32-E72D297353CC}">
              <c16:uniqueId val="{00000000-6DA0-FE4A-B702-82E51198E7EE}"/>
            </c:ext>
          </c:extLst>
        </c:ser>
        <c:ser>
          <c:idx val="1"/>
          <c:order val="1"/>
          <c:tx>
            <c:strRef>
              <c:f>Auxiliar!$I$120</c:f>
              <c:strCache>
                <c:ptCount val="1"/>
                <c:pt idx="0">
                  <c:v>CANTIDAD</c:v>
                </c:pt>
              </c:strCache>
            </c:strRef>
          </c:tx>
          <c:spPr>
            <a:solidFill>
              <a:srgbClr val="C92C6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Auxiliar!$G$121:$G$132</c:f>
              <c:strCache>
                <c:ptCount val="11"/>
                <c:pt idx="0">
                  <c:v>ene</c:v>
                </c:pt>
                <c:pt idx="1">
                  <c:v>feb</c:v>
                </c:pt>
                <c:pt idx="2">
                  <c:v>mar</c:v>
                </c:pt>
                <c:pt idx="3">
                  <c:v>abr</c:v>
                </c:pt>
                <c:pt idx="4">
                  <c:v>may</c:v>
                </c:pt>
                <c:pt idx="5">
                  <c:v>jun</c:v>
                </c:pt>
                <c:pt idx="6">
                  <c:v>ago</c:v>
                </c:pt>
                <c:pt idx="7">
                  <c:v>sep</c:v>
                </c:pt>
                <c:pt idx="8">
                  <c:v>oct</c:v>
                </c:pt>
                <c:pt idx="9">
                  <c:v>nov</c:v>
                </c:pt>
                <c:pt idx="10">
                  <c:v>dic</c:v>
                </c:pt>
              </c:strCache>
            </c:strRef>
          </c:cat>
          <c:val>
            <c:numRef>
              <c:f>Auxiliar!$I$121:$I$132</c:f>
              <c:numCache>
                <c:formatCode>_(* #,##0_);_(* \(#,##0\);_(* "-"??_);_(@_)</c:formatCode>
                <c:ptCount val="11"/>
                <c:pt idx="0">
                  <c:v>1926</c:v>
                </c:pt>
                <c:pt idx="1">
                  <c:v>1609</c:v>
                </c:pt>
                <c:pt idx="2">
                  <c:v>1504</c:v>
                </c:pt>
                <c:pt idx="3">
                  <c:v>72</c:v>
                </c:pt>
                <c:pt idx="4">
                  <c:v>82</c:v>
                </c:pt>
                <c:pt idx="5">
                  <c:v>48</c:v>
                </c:pt>
                <c:pt idx="6">
                  <c:v>94</c:v>
                </c:pt>
                <c:pt idx="7">
                  <c:v>58</c:v>
                </c:pt>
                <c:pt idx="8">
                  <c:v>35</c:v>
                </c:pt>
                <c:pt idx="9">
                  <c:v>53</c:v>
                </c:pt>
                <c:pt idx="10">
                  <c:v>29</c:v>
                </c:pt>
              </c:numCache>
            </c:numRef>
          </c:val>
          <c:extLst>
            <c:ext xmlns:c16="http://schemas.microsoft.com/office/drawing/2014/chart" uri="{C3380CC4-5D6E-409C-BE32-E72D297353CC}">
              <c16:uniqueId val="{00000001-6DA0-FE4A-B702-82E51198E7EE}"/>
            </c:ext>
          </c:extLst>
        </c:ser>
        <c:dLbls>
          <c:dLblPos val="inEnd"/>
          <c:showLegendKey val="0"/>
          <c:showVal val="1"/>
          <c:showCatName val="0"/>
          <c:showSerName val="0"/>
          <c:showPercent val="0"/>
          <c:showBubbleSize val="0"/>
        </c:dLbls>
        <c:gapWidth val="26"/>
        <c:overlap val="100"/>
        <c:axId val="814628768"/>
        <c:axId val="813893744"/>
      </c:barChart>
      <c:catAx>
        <c:axId val="81462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AR"/>
          </a:p>
        </c:txPr>
        <c:crossAx val="813893744"/>
        <c:crosses val="autoZero"/>
        <c:auto val="0"/>
        <c:lblAlgn val="ctr"/>
        <c:lblOffset val="100"/>
        <c:noMultiLvlLbl val="0"/>
      </c:catAx>
      <c:valAx>
        <c:axId val="813893744"/>
        <c:scaling>
          <c:orientation val="minMax"/>
        </c:scaling>
        <c:delete val="1"/>
        <c:axPos val="l"/>
        <c:numFmt formatCode="0%" sourceLinked="1"/>
        <c:majorTickMark val="none"/>
        <c:minorTickMark val="none"/>
        <c:tickLblPos val="nextTo"/>
        <c:crossAx val="81462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0EEED">
          <a:alpha val="0"/>
        </a:srgbClr>
      </a:solidFill>
      <a:round/>
    </a:ln>
    <a:effectLst>
      <a:softEdge rad="1270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s-MX" sz="1400"/>
              <a:t>Total</a:t>
            </a:r>
            <a:r>
              <a:rPr lang="es-MX" sz="1400" baseline="0"/>
              <a:t> de productos vendidos EN SUCURSALES</a:t>
            </a:r>
            <a:endParaRPr lang="es-MX" sz="1400"/>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s-AR"/>
        </a:p>
      </c:txPr>
    </c:title>
    <c:autoTitleDeleted val="0"/>
    <c:plotArea>
      <c:layout/>
      <c:barChart>
        <c:barDir val="bar"/>
        <c:grouping val="clustered"/>
        <c:varyColors val="0"/>
        <c:ser>
          <c:idx val="1"/>
          <c:order val="1"/>
          <c:spPr>
            <a:solidFill>
              <a:srgbClr val="49A0A3"/>
            </a:solidFill>
            <a:ln>
              <a:solidFill>
                <a:srgbClr val="49A0A3"/>
              </a:solidFill>
            </a:ln>
            <a:effectLst/>
          </c:spPr>
          <c:invertIfNegative val="0"/>
          <c:dLbls>
            <c:spPr>
              <a:solidFill>
                <a:srgbClr val="49A0A3"/>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Auxiliar!$Q$5:$Q$7</c:f>
              <c:strCache>
                <c:ptCount val="3"/>
                <c:pt idx="0">
                  <c:v>BARCELONA</c:v>
                </c:pt>
                <c:pt idx="1">
                  <c:v>MADRID</c:v>
                </c:pt>
                <c:pt idx="2">
                  <c:v>VALENCIA</c:v>
                </c:pt>
              </c:strCache>
            </c:strRef>
          </c:cat>
          <c:val>
            <c:numRef>
              <c:f>Auxiliar!$S$5:$S$7</c:f>
              <c:numCache>
                <c:formatCode>General</c:formatCode>
                <c:ptCount val="3"/>
                <c:pt idx="0">
                  <c:v>340</c:v>
                </c:pt>
                <c:pt idx="1">
                  <c:v>322</c:v>
                </c:pt>
                <c:pt idx="2">
                  <c:v>338</c:v>
                </c:pt>
              </c:numCache>
            </c:numRef>
          </c:val>
          <c:extLst>
            <c:ext xmlns:c16="http://schemas.microsoft.com/office/drawing/2014/chart" uri="{C3380CC4-5D6E-409C-BE32-E72D297353CC}">
              <c16:uniqueId val="{00000000-E7B0-CF46-AFF2-DC6C60D6FE34}"/>
            </c:ext>
          </c:extLst>
        </c:ser>
        <c:dLbls>
          <c:dLblPos val="inEnd"/>
          <c:showLegendKey val="0"/>
          <c:showVal val="1"/>
          <c:showCatName val="0"/>
          <c:showSerName val="0"/>
          <c:showPercent val="0"/>
          <c:showBubbleSize val="0"/>
        </c:dLbls>
        <c:gapWidth val="173"/>
        <c:overlap val="18"/>
        <c:axId val="95554847"/>
        <c:axId val="95816815"/>
        <c:extLst>
          <c:ext xmlns:c15="http://schemas.microsoft.com/office/drawing/2012/chart" uri="{02D57815-91ED-43cb-92C2-25804820EDAC}">
            <c15:filteredBarSeries>
              <c15: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in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Auxiliar!$Q$5:$Q$7</c15:sqref>
                        </c15:formulaRef>
                      </c:ext>
                    </c:extLst>
                    <c:strCache>
                      <c:ptCount val="3"/>
                      <c:pt idx="0">
                        <c:v>BARCELONA</c:v>
                      </c:pt>
                      <c:pt idx="1">
                        <c:v>MADRID</c:v>
                      </c:pt>
                      <c:pt idx="2">
                        <c:v>VALENCIA</c:v>
                      </c:pt>
                    </c:strCache>
                  </c:strRef>
                </c:cat>
                <c:val>
                  <c:numRef>
                    <c:extLst>
                      <c:ext uri="{02D57815-91ED-43cb-92C2-25804820EDAC}">
                        <c15:formulaRef>
                          <c15:sqref>Auxiliar!$R$5:$R$7</c15:sqref>
                        </c15:formulaRef>
                      </c:ext>
                    </c:extLst>
                    <c:numCache>
                      <c:formatCode>General</c:formatCode>
                      <c:ptCount val="3"/>
                    </c:numCache>
                  </c:numRef>
                </c:val>
                <c:extLst>
                  <c:ext xmlns:c16="http://schemas.microsoft.com/office/drawing/2014/chart" uri="{C3380CC4-5D6E-409C-BE32-E72D297353CC}">
                    <c16:uniqueId val="{00000001-E7B0-CF46-AFF2-DC6C60D6FE34}"/>
                  </c:ext>
                </c:extLst>
              </c15:ser>
            </c15:filteredBarSeries>
          </c:ext>
        </c:extLst>
      </c:barChart>
      <c:catAx>
        <c:axId val="95554847"/>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54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AR"/>
          </a:p>
        </c:txPr>
        <c:crossAx val="95816815"/>
        <c:crosses val="autoZero"/>
        <c:auto val="1"/>
        <c:lblAlgn val="ctr"/>
        <c:lblOffset val="100"/>
        <c:noMultiLvlLbl val="0"/>
      </c:catAx>
      <c:valAx>
        <c:axId val="95816815"/>
        <c:scaling>
          <c:orientation val="minMax"/>
        </c:scaling>
        <c:delete val="1"/>
        <c:axPos val="b"/>
        <c:numFmt formatCode="General" sourceLinked="1"/>
        <c:majorTickMark val="none"/>
        <c:minorTickMark val="none"/>
        <c:tickLblPos val="nextTo"/>
        <c:crossAx val="95554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glow rad="127000">
        <a:srgbClr val="F0EEED"/>
      </a:glow>
      <a:softEdge rad="317500"/>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pivotSource>
    <c:name>[PF - Lentini .xlsm]Auxiliar!TablaDinámicahoras</c:name>
    <c:fmtId val="1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HORAS</a:t>
            </a:r>
            <a:r>
              <a:rPr lang="en-US" b="1" baseline="0"/>
              <a:t> DE CONCURRENCIA SEGÚN LAS VENTAS</a:t>
            </a:r>
            <a:endParaRPr lang="en-US" b="1"/>
          </a:p>
        </c:rich>
      </c:tx>
      <c:layout>
        <c:manualLayout>
          <c:xMode val="edge"/>
          <c:yMode val="edge"/>
          <c:x val="0.27036439588841299"/>
          <c:y val="6.674766124325140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32C39"/>
          </a:solidFill>
          <a:ln>
            <a:solidFill>
              <a:srgbClr val="332C39"/>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rgbClr val="F0EEED"/>
                  </a:solidFill>
                  <a:latin typeface="Avenir Black" panose="02000503020000020003" pitchFamily="2" charset="0"/>
                  <a:ea typeface="+mn-ea"/>
                  <a:cs typeface="Calibri" panose="020F0502020204030204" pitchFamily="34" charset="0"/>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Auxiliar!$H$105</c:f>
              <c:strCache>
                <c:ptCount val="1"/>
                <c:pt idx="0">
                  <c:v>Total</c:v>
                </c:pt>
              </c:strCache>
            </c:strRef>
          </c:tx>
          <c:spPr>
            <a:solidFill>
              <a:srgbClr val="332C39"/>
            </a:solidFill>
            <a:ln>
              <a:solidFill>
                <a:srgbClr val="332C39"/>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rgbClr val="F0EEED"/>
                    </a:solidFill>
                    <a:latin typeface="Avenir Black" panose="02000503020000020003" pitchFamily="2" charset="0"/>
                    <a:ea typeface="+mn-ea"/>
                    <a:cs typeface="Calibri" panose="020F0502020204030204" pitchFamily="34" charset="0"/>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Auxiliar!$G$106:$G$117</c:f>
              <c:strCache>
                <c:ptCount val="11"/>
                <c:pt idx="0">
                  <c:v>19</c:v>
                </c:pt>
                <c:pt idx="1">
                  <c:v>13</c:v>
                </c:pt>
                <c:pt idx="2">
                  <c:v>10</c:v>
                </c:pt>
                <c:pt idx="3">
                  <c:v>15</c:v>
                </c:pt>
                <c:pt idx="4">
                  <c:v>14</c:v>
                </c:pt>
                <c:pt idx="5">
                  <c:v>11</c:v>
                </c:pt>
                <c:pt idx="6">
                  <c:v>12</c:v>
                </c:pt>
                <c:pt idx="7">
                  <c:v>18</c:v>
                </c:pt>
                <c:pt idx="8">
                  <c:v>16</c:v>
                </c:pt>
                <c:pt idx="9">
                  <c:v>17</c:v>
                </c:pt>
                <c:pt idx="10">
                  <c:v>20</c:v>
                </c:pt>
              </c:strCache>
            </c:strRef>
          </c:cat>
          <c:val>
            <c:numRef>
              <c:f>Auxiliar!$H$106:$H$117</c:f>
              <c:numCache>
                <c:formatCode>#,##0\ [$€-C0A]</c:formatCode>
                <c:ptCount val="11"/>
                <c:pt idx="0">
                  <c:v>37809.05999999999</c:v>
                </c:pt>
                <c:pt idx="1">
                  <c:v>33069.740000000005</c:v>
                </c:pt>
                <c:pt idx="2">
                  <c:v>29925.219999999998</c:v>
                </c:pt>
                <c:pt idx="3">
                  <c:v>29694.770000000011</c:v>
                </c:pt>
                <c:pt idx="4">
                  <c:v>29360.380000000005</c:v>
                </c:pt>
                <c:pt idx="5">
                  <c:v>28930.78999999999</c:v>
                </c:pt>
                <c:pt idx="6">
                  <c:v>24824.649999999991</c:v>
                </c:pt>
                <c:pt idx="7">
                  <c:v>24790.800000000003</c:v>
                </c:pt>
                <c:pt idx="8">
                  <c:v>24025.069999999992</c:v>
                </c:pt>
                <c:pt idx="9">
                  <c:v>23281.159999999996</c:v>
                </c:pt>
                <c:pt idx="10">
                  <c:v>21875.739999999998</c:v>
                </c:pt>
              </c:numCache>
            </c:numRef>
          </c:val>
          <c:extLst>
            <c:ext xmlns:c16="http://schemas.microsoft.com/office/drawing/2014/chart" uri="{C3380CC4-5D6E-409C-BE32-E72D297353CC}">
              <c16:uniqueId val="{00000000-3A3C-FC4D-9473-B26284D2C240}"/>
            </c:ext>
          </c:extLst>
        </c:ser>
        <c:dLbls>
          <c:showLegendKey val="0"/>
          <c:showVal val="1"/>
          <c:showCatName val="0"/>
          <c:showSerName val="0"/>
          <c:showPercent val="0"/>
          <c:showBubbleSize val="0"/>
        </c:dLbls>
        <c:gapWidth val="150"/>
        <c:overlap val="100"/>
        <c:axId val="1795558144"/>
        <c:axId val="95778879"/>
      </c:barChart>
      <c:catAx>
        <c:axId val="179555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AR"/>
          </a:p>
        </c:txPr>
        <c:crossAx val="95778879"/>
        <c:crosses val="autoZero"/>
        <c:auto val="1"/>
        <c:lblAlgn val="ctr"/>
        <c:lblOffset val="100"/>
        <c:noMultiLvlLbl val="0"/>
      </c:catAx>
      <c:valAx>
        <c:axId val="95778879"/>
        <c:scaling>
          <c:orientation val="minMax"/>
        </c:scaling>
        <c:delete val="1"/>
        <c:axPos val="l"/>
        <c:majorGridlines>
          <c:spPr>
            <a:ln w="9525" cap="flat" cmpd="sng" algn="ctr">
              <a:solidFill>
                <a:schemeClr val="tx1">
                  <a:lumMod val="15000"/>
                  <a:lumOff val="85000"/>
                </a:schemeClr>
              </a:solidFill>
              <a:round/>
            </a:ln>
            <a:effectLst/>
          </c:spPr>
        </c:majorGridlines>
        <c:numFmt formatCode="#,##0\ [$€-C0A]" sourceLinked="1"/>
        <c:majorTickMark val="none"/>
        <c:minorTickMark val="none"/>
        <c:tickLblPos val="nextTo"/>
        <c:crossAx val="179555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0EEED"/>
      </a:solidFill>
      <a:round/>
    </a:ln>
    <a:effectLst>
      <a:softEdge rad="3175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[PF - Lentini .xlsm]Auxiliar!TablaDinámica9</c:name>
    <c:fmtId val="10"/>
  </c:pivotSource>
  <c:chart>
    <c:title>
      <c:tx>
        <c:rich>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r>
              <a:rPr lang="en-US" sz="1400"/>
              <a:t>TOtalES formas</a:t>
            </a:r>
            <a:r>
              <a:rPr lang="en-US" sz="1400" baseline="0"/>
              <a:t> de pago </a:t>
            </a:r>
            <a:endParaRPr lang="en-US" sz="1400"/>
          </a:p>
        </c:rich>
      </c:tx>
      <c:layout>
        <c:manualLayout>
          <c:xMode val="edge"/>
          <c:yMode val="edge"/>
          <c:x val="0.33681877711554686"/>
          <c:y val="0"/>
        </c:manualLayout>
      </c:layout>
      <c:overlay val="0"/>
      <c:spPr>
        <a:noFill/>
        <a:ln>
          <a:noFill/>
        </a:ln>
        <a:effectLst/>
      </c:spPr>
      <c:txPr>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9A0A3"/>
          </a:solidFill>
          <a:ln>
            <a:solidFill>
              <a:srgbClr val="49A0A3"/>
            </a:solidFill>
          </a:ln>
          <a:effectLst/>
        </c:spPr>
        <c:marker>
          <c:symbol val="none"/>
        </c:marker>
        <c:dLbl>
          <c:idx val="0"/>
          <c:numFmt formatCode="#,##0" sourceLinked="0"/>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rgbClr val="332C39"/>
                  </a:solidFill>
                  <a:latin typeface="Avenir Black" panose="02000503020000020003" pitchFamily="2" charset="0"/>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Auxiliar!$H$135</c:f>
              <c:strCache>
                <c:ptCount val="1"/>
                <c:pt idx="0">
                  <c:v>Total</c:v>
                </c:pt>
              </c:strCache>
            </c:strRef>
          </c:tx>
          <c:spPr>
            <a:solidFill>
              <a:srgbClr val="49A0A3"/>
            </a:solidFill>
            <a:ln>
              <a:solidFill>
                <a:srgbClr val="49A0A3"/>
              </a:solidFill>
            </a:ln>
            <a:effectLst/>
          </c:spPr>
          <c:invertIfNegative val="0"/>
          <c:dLbls>
            <c:numFmt formatCode="#,##0" sourceLinked="0"/>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rgbClr val="332C39"/>
                    </a:solidFill>
                    <a:latin typeface="Avenir Black" panose="02000503020000020003" pitchFamily="2" charset="0"/>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Auxiliar!$G$136:$G$163</c:f>
              <c:multiLvlStrCache>
                <c:ptCount val="18"/>
                <c:lvl>
                  <c:pt idx="0">
                    <c:v>Ewallet</c:v>
                  </c:pt>
                  <c:pt idx="1">
                    <c:v>Cash</c:v>
                  </c:pt>
                  <c:pt idx="2">
                    <c:v>Credit card</c:v>
                  </c:pt>
                  <c:pt idx="3">
                    <c:v>Ewallet</c:v>
                  </c:pt>
                  <c:pt idx="4">
                    <c:v>Credit card</c:v>
                  </c:pt>
                  <c:pt idx="5">
                    <c:v>Cash</c:v>
                  </c:pt>
                  <c:pt idx="6">
                    <c:v>Cash</c:v>
                  </c:pt>
                  <c:pt idx="7">
                    <c:v>Credit card</c:v>
                  </c:pt>
                  <c:pt idx="8">
                    <c:v>Ewallet</c:v>
                  </c:pt>
                  <c:pt idx="9">
                    <c:v>Ewallet</c:v>
                  </c:pt>
                  <c:pt idx="10">
                    <c:v>Cash</c:v>
                  </c:pt>
                  <c:pt idx="11">
                    <c:v>Credit card</c:v>
                  </c:pt>
                  <c:pt idx="12">
                    <c:v>Credit card</c:v>
                  </c:pt>
                  <c:pt idx="13">
                    <c:v>Ewallet</c:v>
                  </c:pt>
                  <c:pt idx="14">
                    <c:v>Cash</c:v>
                  </c:pt>
                  <c:pt idx="15">
                    <c:v>Cash</c:v>
                  </c:pt>
                  <c:pt idx="16">
                    <c:v>Ewallet</c:v>
                  </c:pt>
                  <c:pt idx="17">
                    <c:v>Credit card</c:v>
                  </c:pt>
                </c:lvl>
                <c:lvl>
                  <c:pt idx="0">
                    <c:v>Member</c:v>
                  </c:pt>
                  <c:pt idx="3">
                    <c:v>Normal</c:v>
                  </c:pt>
                  <c:pt idx="6">
                    <c:v>Member</c:v>
                  </c:pt>
                  <c:pt idx="9">
                    <c:v>Normal</c:v>
                  </c:pt>
                  <c:pt idx="12">
                    <c:v>Member</c:v>
                  </c:pt>
                  <c:pt idx="15">
                    <c:v>Normal</c:v>
                  </c:pt>
                </c:lvl>
                <c:lvl>
                  <c:pt idx="0">
                    <c:v>Barcelona</c:v>
                  </c:pt>
                  <c:pt idx="6">
                    <c:v>Madrid</c:v>
                  </c:pt>
                  <c:pt idx="12">
                    <c:v>Valencia</c:v>
                  </c:pt>
                </c:lvl>
              </c:multiLvlStrCache>
            </c:multiLvlStrRef>
          </c:cat>
          <c:val>
            <c:numRef>
              <c:f>Auxiliar!$H$136:$H$163</c:f>
              <c:numCache>
                <c:formatCode>_(* #,##0_);_(* \(#,##0\);_(* "-"??_);_(@_)</c:formatCode>
                <c:ptCount val="18"/>
                <c:pt idx="0">
                  <c:v>62</c:v>
                </c:pt>
                <c:pt idx="1">
                  <c:v>56</c:v>
                </c:pt>
                <c:pt idx="2">
                  <c:v>49</c:v>
                </c:pt>
                <c:pt idx="3">
                  <c:v>64</c:v>
                </c:pt>
                <c:pt idx="4">
                  <c:v>55</c:v>
                </c:pt>
                <c:pt idx="5">
                  <c:v>54</c:v>
                </c:pt>
                <c:pt idx="6">
                  <c:v>62</c:v>
                </c:pt>
                <c:pt idx="7">
                  <c:v>61</c:v>
                </c:pt>
                <c:pt idx="8">
                  <c:v>49</c:v>
                </c:pt>
                <c:pt idx="9">
                  <c:v>60</c:v>
                </c:pt>
                <c:pt idx="10">
                  <c:v>55</c:v>
                </c:pt>
                <c:pt idx="11">
                  <c:v>35</c:v>
                </c:pt>
                <c:pt idx="12">
                  <c:v>62</c:v>
                </c:pt>
                <c:pt idx="13">
                  <c:v>50</c:v>
                </c:pt>
                <c:pt idx="14">
                  <c:v>50</c:v>
                </c:pt>
                <c:pt idx="15">
                  <c:v>67</c:v>
                </c:pt>
                <c:pt idx="16">
                  <c:v>60</c:v>
                </c:pt>
                <c:pt idx="17">
                  <c:v>49</c:v>
                </c:pt>
              </c:numCache>
            </c:numRef>
          </c:val>
          <c:extLst>
            <c:ext xmlns:c16="http://schemas.microsoft.com/office/drawing/2014/chart" uri="{C3380CC4-5D6E-409C-BE32-E72D297353CC}">
              <c16:uniqueId val="{00000000-CE98-5348-AF66-F20E692186FD}"/>
            </c:ext>
          </c:extLst>
        </c:ser>
        <c:dLbls>
          <c:dLblPos val="outEnd"/>
          <c:showLegendKey val="0"/>
          <c:showVal val="1"/>
          <c:showCatName val="0"/>
          <c:showSerName val="0"/>
          <c:showPercent val="0"/>
          <c:showBubbleSize val="0"/>
        </c:dLbls>
        <c:gapWidth val="444"/>
        <c:overlap val="-90"/>
        <c:axId val="1480419888"/>
        <c:axId val="1480421536"/>
      </c:barChart>
      <c:catAx>
        <c:axId val="1480419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rgbClr val="332C39"/>
                </a:solidFill>
                <a:latin typeface="Calibri" panose="020F0502020204030204" pitchFamily="34" charset="0"/>
                <a:ea typeface="+mn-ea"/>
                <a:cs typeface="Calibri" panose="020F0502020204030204" pitchFamily="34" charset="0"/>
              </a:defRPr>
            </a:pPr>
            <a:endParaRPr lang="es-AR"/>
          </a:p>
        </c:txPr>
        <c:crossAx val="1480421536"/>
        <c:crosses val="autoZero"/>
        <c:auto val="1"/>
        <c:lblAlgn val="ctr"/>
        <c:lblOffset val="100"/>
        <c:noMultiLvlLbl val="0"/>
      </c:catAx>
      <c:valAx>
        <c:axId val="1480421536"/>
        <c:scaling>
          <c:orientation val="minMax"/>
        </c:scaling>
        <c:delete val="1"/>
        <c:axPos val="l"/>
        <c:numFmt formatCode="_(* #,##0_);_(* \(#,##0\);_(* &quot;-&quot;??_);_(@_)" sourceLinked="1"/>
        <c:majorTickMark val="none"/>
        <c:minorTickMark val="none"/>
        <c:tickLblPos val="nextTo"/>
        <c:crossAx val="148041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a:glow rad="127000">
        <a:srgbClr val="F0EEED"/>
      </a:glow>
      <a:softEdge rad="3175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pivotSource>
    <c:name>[PF - Lentini .xlsm]Auxiliar!TablaDinámica11</c:name>
    <c:fmtId val="1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TOTAL DE VENTAS POR</a:t>
            </a:r>
            <a:r>
              <a:rPr lang="en-US" sz="1400" b="1" baseline="0"/>
              <a:t> SUCURSAL</a:t>
            </a:r>
            <a:endParaRPr 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numFmt formatCode="#,##0\ [$€-C0A]" sourceLinked="0"/>
          <c:spPr>
            <a:noFill/>
            <a:ln>
              <a:noFill/>
            </a:ln>
            <a:effectLst/>
          </c:spPr>
          <c:txPr>
            <a:bodyPr rot="0" spcFirstLastPara="1" vertOverflow="overflow" horzOverflow="overflow" vert="horz" wrap="square" lIns="38100" tIns="19050" rIns="38100" bIns="19050" anchor="ctr" anchorCtr="1">
              <a:sp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14"/>
        <c:spPr>
          <a:solidFill>
            <a:srgbClr val="49A0A3"/>
          </a:solidFill>
          <a:ln w="19050">
            <a:solidFill>
              <a:schemeClr val="lt1"/>
            </a:solidFill>
          </a:ln>
          <a:effectLst/>
        </c:spPr>
        <c:dLbl>
          <c:idx val="0"/>
          <c:layout>
            <c:manualLayout>
              <c:x val="-0.16867586765101522"/>
              <c:y val="0.112064296383769"/>
            </c:manualLayout>
          </c:layout>
          <c:tx>
            <c:rich>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fld id="{961AC0EC-5CDA-4545-9AAB-DBD400D7D120}" type="VALUE">
                  <a:rPr lang="en-US" b="1" i="0" baseline="0">
                    <a:solidFill>
                      <a:srgbClr val="F0EEED"/>
                    </a:solidFill>
                    <a:latin typeface="Avenir Black" panose="02000503020000020003" pitchFamily="2" charset="0"/>
                  </a:rPr>
                  <a:pPr>
                    <a:defRPr sz="1400" b="1">
                      <a:solidFill>
                        <a:srgbClr val="F0EEED"/>
                      </a:solidFill>
                      <a:latin typeface="Avenir Black" panose="02000503020000020003" pitchFamily="2" charset="0"/>
                    </a:defRPr>
                  </a:pPr>
                  <a:t>[VALOR]</a:t>
                </a:fld>
                <a:endParaRPr lang="es-MX"/>
              </a:p>
            </c:rich>
          </c:tx>
          <c:numFmt formatCode="#,##0\ [$€-C0A]" sourceLinked="0"/>
          <c:spPr>
            <a:noFill/>
            <a:ln>
              <a:noFill/>
            </a:ln>
            <a:effectLst/>
          </c:spPr>
          <c:txPr>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bestFit"/>
          <c:showLegendKey val="0"/>
          <c:showVal val="1"/>
          <c:showCatName val="1"/>
          <c:showSerName val="0"/>
          <c:showPercent val="1"/>
          <c:showBubbleSize val="0"/>
          <c:extLst>
            <c:ext xmlns:c15="http://schemas.microsoft.com/office/drawing/2012/chart" uri="{CE6537A1-D6FC-4f65-9D91-7224C49458BB}">
              <c15:layout>
                <c:manualLayout>
                  <c:w val="0.35735782241948327"/>
                  <c:h val="9.8232113822929387E-2"/>
                </c:manualLayout>
              </c15:layout>
              <c15:dlblFieldTable/>
              <c15:showDataLabelsRange val="0"/>
            </c:ext>
          </c:extLst>
        </c:dLbl>
      </c:pivotFmt>
      <c:pivotFmt>
        <c:idx val="15"/>
        <c:spPr>
          <a:solidFill>
            <a:srgbClr val="332C39"/>
          </a:solidFill>
          <a:ln w="19050">
            <a:solidFill>
              <a:schemeClr val="lt1"/>
            </a:solidFill>
          </a:ln>
          <a:effectLst/>
        </c:spPr>
        <c:dLbl>
          <c:idx val="0"/>
          <c:tx>
            <c:rich>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fld id="{65B9ECE6-E290-2846-9B47-EBB05899C6EC}" type="VALUE">
                  <a:rPr lang="en-US" b="1" i="0" baseline="0">
                    <a:solidFill>
                      <a:srgbClr val="F0EEED"/>
                    </a:solidFill>
                    <a:latin typeface="Avenir Black" panose="02000503020000020003" pitchFamily="2" charset="0"/>
                  </a:rPr>
                  <a:pPr>
                    <a:defRPr sz="1400" b="1">
                      <a:solidFill>
                        <a:srgbClr val="F0EEED"/>
                      </a:solidFill>
                      <a:latin typeface="Avenir Black" panose="02000503020000020003" pitchFamily="2" charset="0"/>
                    </a:defRPr>
                  </a:pPr>
                  <a:t>[VALOR]</a:t>
                </a:fld>
                <a:r>
                  <a:rPr lang="en-US" b="1" i="0" baseline="0">
                    <a:solidFill>
                      <a:srgbClr val="F0EEED"/>
                    </a:solidFill>
                    <a:latin typeface="Avenir Black" panose="02000503020000020003" pitchFamily="2" charset="0"/>
                  </a:rPr>
                  <a:t> </a:t>
                </a:r>
              </a:p>
            </c:rich>
          </c:tx>
          <c:numFmt formatCode="#,##0\ [$€-C0A]" sourceLinked="0"/>
          <c:spPr>
            <a:noFill/>
            <a:ln>
              <a:noFill/>
            </a:ln>
            <a:effectLst/>
          </c:spPr>
          <c:txPr>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1"/>
          <c:showSerName val="0"/>
          <c:showPercent val="1"/>
          <c:showBubbleSize val="0"/>
          <c:extLst>
            <c:ext xmlns:c15="http://schemas.microsoft.com/office/drawing/2012/chart" uri="{CE6537A1-D6FC-4f65-9D91-7224C49458BB}">
              <c15:layout>
                <c:manualLayout>
                  <c:w val="0.35411997764814568"/>
                  <c:h val="0.11188170029389861"/>
                </c:manualLayout>
              </c15:layout>
              <c15:dlblFieldTable/>
              <c15:showDataLabelsRange val="0"/>
            </c:ext>
          </c:extLst>
        </c:dLbl>
      </c:pivotFmt>
      <c:pivotFmt>
        <c:idx val="16"/>
        <c:spPr>
          <a:solidFill>
            <a:srgbClr val="C92C6D"/>
          </a:solidFill>
          <a:ln w="19050">
            <a:solidFill>
              <a:schemeClr val="lt1"/>
            </a:solidFill>
          </a:ln>
          <a:effectLst/>
        </c:spPr>
        <c:dLbl>
          <c:idx val="0"/>
          <c:tx>
            <c:rich>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fld id="{61B3F1BE-2E95-0F41-B986-A3F10357286E}" type="VALUE">
                  <a:rPr lang="en-US" b="1" i="0" baseline="0">
                    <a:solidFill>
                      <a:srgbClr val="F0EEED"/>
                    </a:solidFill>
                    <a:latin typeface="Avenir Black" panose="02000503020000020003" pitchFamily="2" charset="0"/>
                  </a:rPr>
                  <a:pPr>
                    <a:defRPr sz="1400" b="1">
                      <a:solidFill>
                        <a:srgbClr val="F0EEED"/>
                      </a:solidFill>
                      <a:latin typeface="Avenir Black" panose="02000503020000020003" pitchFamily="2" charset="0"/>
                    </a:defRPr>
                  </a:pPr>
                  <a:t>[VALOR]</a:t>
                </a:fld>
                <a:r>
                  <a:rPr lang="en-US" b="1" i="0" baseline="0">
                    <a:solidFill>
                      <a:srgbClr val="F0EEED"/>
                    </a:solidFill>
                    <a:latin typeface="Avenir Black" panose="02000503020000020003" pitchFamily="2" charset="0"/>
                  </a:rPr>
                  <a:t> </a:t>
                </a:r>
              </a:p>
            </c:rich>
          </c:tx>
          <c:numFmt formatCode="#,##0\ [$€-C0A]" sourceLinked="0"/>
          <c:spPr>
            <a:noFill/>
            <a:ln>
              <a:noFill/>
            </a:ln>
            <a:effectLst/>
          </c:spPr>
          <c:txPr>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1"/>
          <c:showSerName val="0"/>
          <c:showPercent val="1"/>
          <c:showBubbleSize val="0"/>
          <c:extLst>
            <c:ext xmlns:c15="http://schemas.microsoft.com/office/drawing/2012/chart" uri="{CE6537A1-D6FC-4f65-9D91-7224C49458BB}">
              <c15:layout>
                <c:manualLayout>
                  <c:w val="0.26978089192909144"/>
                  <c:h val="0.10733177938655819"/>
                </c:manualLayout>
              </c15:layout>
              <c15:dlblFieldTable/>
              <c15:showDataLabelsRange val="0"/>
            </c:ext>
          </c:extLst>
        </c:dLbl>
      </c:pivotFmt>
    </c:pivotFmts>
    <c:plotArea>
      <c:layout>
        <c:manualLayout>
          <c:layoutTarget val="inner"/>
          <c:xMode val="edge"/>
          <c:yMode val="edge"/>
          <c:x val="0.18313360455588623"/>
          <c:y val="0.19995690147778133"/>
          <c:w val="0.63417893652137958"/>
          <c:h val="0.44559465392029962"/>
        </c:manualLayout>
      </c:layout>
      <c:pieChart>
        <c:varyColors val="1"/>
        <c:ser>
          <c:idx val="0"/>
          <c:order val="0"/>
          <c:tx>
            <c:strRef>
              <c:f>Auxiliar!$C$65</c:f>
              <c:strCache>
                <c:ptCount val="1"/>
                <c:pt idx="0">
                  <c:v>Total</c:v>
                </c:pt>
              </c:strCache>
            </c:strRef>
          </c:tx>
          <c:dPt>
            <c:idx val="0"/>
            <c:bubble3D val="0"/>
            <c:spPr>
              <a:solidFill>
                <a:srgbClr val="49A0A3"/>
              </a:solidFill>
              <a:ln w="19050">
                <a:solidFill>
                  <a:schemeClr val="lt1"/>
                </a:solidFill>
              </a:ln>
              <a:effectLst/>
            </c:spPr>
            <c:extLst>
              <c:ext xmlns:c16="http://schemas.microsoft.com/office/drawing/2014/chart" uri="{C3380CC4-5D6E-409C-BE32-E72D297353CC}">
                <c16:uniqueId val="{00000001-E27C-C44B-883C-6EE7FD280C87}"/>
              </c:ext>
            </c:extLst>
          </c:dPt>
          <c:dPt>
            <c:idx val="1"/>
            <c:bubble3D val="0"/>
            <c:spPr>
              <a:solidFill>
                <a:srgbClr val="332C39"/>
              </a:solidFill>
              <a:ln w="19050">
                <a:solidFill>
                  <a:schemeClr val="lt1"/>
                </a:solidFill>
              </a:ln>
              <a:effectLst/>
            </c:spPr>
            <c:extLst>
              <c:ext xmlns:c16="http://schemas.microsoft.com/office/drawing/2014/chart" uri="{C3380CC4-5D6E-409C-BE32-E72D297353CC}">
                <c16:uniqueId val="{00000003-E27C-C44B-883C-6EE7FD280C87}"/>
              </c:ext>
            </c:extLst>
          </c:dPt>
          <c:dPt>
            <c:idx val="2"/>
            <c:bubble3D val="0"/>
            <c:spPr>
              <a:solidFill>
                <a:srgbClr val="C92C6D"/>
              </a:solidFill>
              <a:ln w="19050">
                <a:solidFill>
                  <a:schemeClr val="lt1"/>
                </a:solidFill>
              </a:ln>
              <a:effectLst/>
            </c:spPr>
            <c:extLst>
              <c:ext xmlns:c16="http://schemas.microsoft.com/office/drawing/2014/chart" uri="{C3380CC4-5D6E-409C-BE32-E72D297353CC}">
                <c16:uniqueId val="{00000005-E27C-C44B-883C-6EE7FD280C87}"/>
              </c:ext>
            </c:extLst>
          </c:dPt>
          <c:dLbls>
            <c:dLbl>
              <c:idx val="0"/>
              <c:layout>
                <c:manualLayout>
                  <c:x val="-0.16867586765101522"/>
                  <c:y val="0.112064296383769"/>
                </c:manualLayout>
              </c:layout>
              <c:tx>
                <c:rich>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fld id="{961AC0EC-5CDA-4545-9AAB-DBD400D7D120}" type="VALUE">
                      <a:rPr lang="en-US" b="1" i="0" baseline="0">
                        <a:solidFill>
                          <a:srgbClr val="F0EEED"/>
                        </a:solidFill>
                        <a:latin typeface="Avenir Black" panose="02000503020000020003" pitchFamily="2" charset="0"/>
                      </a:rPr>
                      <a:pPr>
                        <a:defRPr sz="1400" b="1">
                          <a:solidFill>
                            <a:srgbClr val="F0EEED"/>
                          </a:solidFill>
                          <a:latin typeface="Avenir Black" panose="02000503020000020003" pitchFamily="2" charset="0"/>
                        </a:defRPr>
                      </a:pPr>
                      <a:t>[VALOR]</a:t>
                    </a:fld>
                    <a:endParaRPr lang="es-MX"/>
                  </a:p>
                </c:rich>
              </c:tx>
              <c:numFmt formatCode="#,##0\ [$€-C0A]" sourceLinked="0"/>
              <c:spPr>
                <a:noFill/>
                <a:ln>
                  <a:noFill/>
                </a:ln>
                <a:effectLst/>
              </c:spPr>
              <c:txPr>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bestFit"/>
              <c:showLegendKey val="0"/>
              <c:showVal val="1"/>
              <c:showCatName val="1"/>
              <c:showSerName val="0"/>
              <c:showPercent val="1"/>
              <c:showBubbleSize val="0"/>
              <c:extLst>
                <c:ext xmlns:c15="http://schemas.microsoft.com/office/drawing/2012/chart" uri="{CE6537A1-D6FC-4f65-9D91-7224C49458BB}">
                  <c15:layout>
                    <c:manualLayout>
                      <c:w val="0.35735782241948327"/>
                      <c:h val="9.8232113822929387E-2"/>
                    </c:manualLayout>
                  </c15:layout>
                  <c15:dlblFieldTable/>
                  <c15:showDataLabelsRange val="0"/>
                </c:ext>
                <c:ext xmlns:c16="http://schemas.microsoft.com/office/drawing/2014/chart" uri="{C3380CC4-5D6E-409C-BE32-E72D297353CC}">
                  <c16:uniqueId val="{00000001-E27C-C44B-883C-6EE7FD280C87}"/>
                </c:ext>
              </c:extLst>
            </c:dLbl>
            <c:dLbl>
              <c:idx val="1"/>
              <c:tx>
                <c:rich>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fld id="{65B9ECE6-E290-2846-9B47-EBB05899C6EC}" type="VALUE">
                      <a:rPr lang="en-US" b="1" i="0" baseline="0">
                        <a:solidFill>
                          <a:srgbClr val="F0EEED"/>
                        </a:solidFill>
                        <a:latin typeface="Avenir Black" panose="02000503020000020003" pitchFamily="2" charset="0"/>
                      </a:rPr>
                      <a:pPr>
                        <a:defRPr sz="1400" b="1">
                          <a:solidFill>
                            <a:srgbClr val="F0EEED"/>
                          </a:solidFill>
                          <a:latin typeface="Avenir Black" panose="02000503020000020003" pitchFamily="2" charset="0"/>
                        </a:defRPr>
                      </a:pPr>
                      <a:t>[VALOR]</a:t>
                    </a:fld>
                    <a:r>
                      <a:rPr lang="en-US" b="1" i="0" baseline="0">
                        <a:solidFill>
                          <a:srgbClr val="F0EEED"/>
                        </a:solidFill>
                        <a:latin typeface="Avenir Black" panose="02000503020000020003" pitchFamily="2" charset="0"/>
                      </a:rPr>
                      <a:t> </a:t>
                    </a:r>
                  </a:p>
                </c:rich>
              </c:tx>
              <c:numFmt formatCode="#,##0\ [$€-C0A]" sourceLinked="0"/>
              <c:spPr>
                <a:noFill/>
                <a:ln>
                  <a:noFill/>
                </a:ln>
                <a:effectLst/>
              </c:spPr>
              <c:txPr>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1"/>
              <c:showSerName val="0"/>
              <c:showPercent val="1"/>
              <c:showBubbleSize val="0"/>
              <c:extLst>
                <c:ext xmlns:c15="http://schemas.microsoft.com/office/drawing/2012/chart" uri="{CE6537A1-D6FC-4f65-9D91-7224C49458BB}">
                  <c15:layout>
                    <c:manualLayout>
                      <c:w val="0.35411997764814568"/>
                      <c:h val="0.11188170029389861"/>
                    </c:manualLayout>
                  </c15:layout>
                  <c15:dlblFieldTable/>
                  <c15:showDataLabelsRange val="0"/>
                </c:ext>
                <c:ext xmlns:c16="http://schemas.microsoft.com/office/drawing/2014/chart" uri="{C3380CC4-5D6E-409C-BE32-E72D297353CC}">
                  <c16:uniqueId val="{00000003-E27C-C44B-883C-6EE7FD280C87}"/>
                </c:ext>
              </c:extLst>
            </c:dLbl>
            <c:dLbl>
              <c:idx val="2"/>
              <c:tx>
                <c:rich>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fld id="{61B3F1BE-2E95-0F41-B986-A3F10357286E}" type="VALUE">
                      <a:rPr lang="en-US" b="1" i="0" baseline="0">
                        <a:solidFill>
                          <a:srgbClr val="F0EEED"/>
                        </a:solidFill>
                        <a:latin typeface="Avenir Black" panose="02000503020000020003" pitchFamily="2" charset="0"/>
                      </a:rPr>
                      <a:pPr>
                        <a:defRPr sz="1400" b="1">
                          <a:solidFill>
                            <a:srgbClr val="F0EEED"/>
                          </a:solidFill>
                          <a:latin typeface="Avenir Black" panose="02000503020000020003" pitchFamily="2" charset="0"/>
                        </a:defRPr>
                      </a:pPr>
                      <a:t>[VALOR]</a:t>
                    </a:fld>
                    <a:r>
                      <a:rPr lang="en-US" b="1" i="0" baseline="0">
                        <a:solidFill>
                          <a:srgbClr val="F0EEED"/>
                        </a:solidFill>
                        <a:latin typeface="Avenir Black" panose="02000503020000020003" pitchFamily="2" charset="0"/>
                      </a:rPr>
                      <a:t> </a:t>
                    </a:r>
                  </a:p>
                </c:rich>
              </c:tx>
              <c:numFmt formatCode="#,##0\ [$€-C0A]" sourceLinked="0"/>
              <c:spPr>
                <a:noFill/>
                <a:ln>
                  <a:noFill/>
                </a:ln>
                <a:effectLst/>
              </c:spPr>
              <c:txPr>
                <a:bodyPr rot="0" spcFirstLastPara="1" vertOverflow="overflow" horzOverflow="overflow" vert="horz" wrap="square" lIns="38100" tIns="19050" rIns="38100" bIns="19050" anchor="ctr" anchorCtr="1">
                  <a:no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1"/>
              <c:showSerName val="0"/>
              <c:showPercent val="1"/>
              <c:showBubbleSize val="0"/>
              <c:extLst>
                <c:ext xmlns:c15="http://schemas.microsoft.com/office/drawing/2012/chart" uri="{CE6537A1-D6FC-4f65-9D91-7224C49458BB}">
                  <c15:layout>
                    <c:manualLayout>
                      <c:w val="0.26978089192909144"/>
                      <c:h val="0.10733177938655819"/>
                    </c:manualLayout>
                  </c15:layout>
                  <c15:dlblFieldTable/>
                  <c15:showDataLabelsRange val="0"/>
                </c:ext>
                <c:ext xmlns:c16="http://schemas.microsoft.com/office/drawing/2014/chart" uri="{C3380CC4-5D6E-409C-BE32-E72D297353CC}">
                  <c16:uniqueId val="{00000005-E27C-C44B-883C-6EE7FD280C87}"/>
                </c:ext>
              </c:extLst>
            </c:dLbl>
            <c:numFmt formatCode="#,##0\ [$€-C0A]" sourceLinked="0"/>
            <c:spPr>
              <a:noFill/>
              <a:ln>
                <a:noFill/>
              </a:ln>
              <a:effectLst/>
            </c:spPr>
            <c:txPr>
              <a:bodyPr rot="0" spcFirstLastPara="1" vertOverflow="overflow" horzOverflow="overflow" vert="horz" wrap="square" lIns="38100" tIns="19050" rIns="38100" bIns="19050" anchor="ctr" anchorCtr="1">
                <a:spAutoFit/>
              </a:bodyPr>
              <a:lstStyle/>
              <a:p>
                <a:pPr>
                  <a:defRPr sz="1400" b="1" i="0" u="none" strike="noStrike" kern="1200" baseline="0">
                    <a:solidFill>
                      <a:srgbClr val="F0EEED"/>
                    </a:solidFill>
                    <a:latin typeface="Avenir Black" panose="02000503020000020003" pitchFamily="2" charset="0"/>
                    <a:ea typeface="+mn-ea"/>
                    <a:cs typeface="+mn-cs"/>
                  </a:defRPr>
                </a:pPr>
                <a:endParaRPr lang="es-AR"/>
              </a:p>
            </c:txPr>
            <c:dLblPos val="ct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Auxiliar!$B$66:$B$69</c:f>
              <c:strCache>
                <c:ptCount val="3"/>
                <c:pt idx="0">
                  <c:v>Barcelona</c:v>
                </c:pt>
                <c:pt idx="1">
                  <c:v>Madrid</c:v>
                </c:pt>
                <c:pt idx="2">
                  <c:v>Valencia</c:v>
                </c:pt>
              </c:strCache>
            </c:strRef>
          </c:cat>
          <c:val>
            <c:numRef>
              <c:f>Auxiliar!$C$66:$C$69</c:f>
              <c:numCache>
                <c:formatCode>#,##0\ [$€-C0A]</c:formatCode>
                <c:ptCount val="3"/>
                <c:pt idx="0">
                  <c:v>101143.21000000004</c:v>
                </c:pt>
                <c:pt idx="1">
                  <c:v>100867.17000000001</c:v>
                </c:pt>
                <c:pt idx="2">
                  <c:v>105577.00000000004</c:v>
                </c:pt>
              </c:numCache>
            </c:numRef>
          </c:val>
          <c:extLst>
            <c:ext xmlns:c16="http://schemas.microsoft.com/office/drawing/2014/chart" uri="{C3380CC4-5D6E-409C-BE32-E72D297353CC}">
              <c16:uniqueId val="{00000006-E27C-C44B-883C-6EE7FD280C8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7.6637367220686078E-2"/>
          <c:y val="0.72459703956501664"/>
          <c:w val="0.83918132531256961"/>
          <c:h val="0.1333958375354094"/>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127000">
        <a:srgbClr val="F0EEED"/>
      </a:glow>
      <a:softEdge rad="3175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pivotSource>
    <c:name>[PF - Lentini .xlsm]Auxiliar!TablaDinámica3</c:name>
    <c:fmtId val="12"/>
  </c:pivotSource>
  <c:chart>
    <c:title>
      <c:tx>
        <c:rich>
          <a:bodyPr rot="0" spcFirstLastPara="1" vertOverflow="ellipsis" vert="horz" wrap="square" anchor="ctr" anchorCtr="1"/>
          <a:lstStyle/>
          <a:p>
            <a:pPr>
              <a:defRPr sz="1400" b="1" i="0" u="none" strike="noStrike" kern="1200" spc="0" baseline="0">
                <a:solidFill>
                  <a:srgbClr val="332C39"/>
                </a:solidFill>
                <a:latin typeface="+mn-lt"/>
                <a:ea typeface="+mn-ea"/>
                <a:cs typeface="+mn-cs"/>
              </a:defRPr>
            </a:pPr>
            <a:r>
              <a:rPr lang="es-MX" b="1">
                <a:solidFill>
                  <a:srgbClr val="332C39"/>
                </a:solidFill>
              </a:rPr>
              <a:t>PRODUCTOS</a:t>
            </a:r>
            <a:r>
              <a:rPr lang="es-MX" b="1" baseline="0">
                <a:solidFill>
                  <a:srgbClr val="332C39"/>
                </a:solidFill>
              </a:rPr>
              <a:t> MÁS VENDIDOS </a:t>
            </a:r>
            <a:endParaRPr lang="es-MX" b="1">
              <a:solidFill>
                <a:srgbClr val="332C39"/>
              </a:solidFill>
            </a:endParaRPr>
          </a:p>
        </c:rich>
      </c:tx>
      <c:layout>
        <c:manualLayout>
          <c:xMode val="edge"/>
          <c:yMode val="edge"/>
          <c:x val="0.29979996997374875"/>
          <c:y val="3.8055416615764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332C39"/>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92C6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099119449718053"/>
          <c:y val="0.11260494556916145"/>
          <c:w val="0.63532165496587223"/>
          <c:h val="0.86146912682473842"/>
        </c:manualLayout>
      </c:layout>
      <c:barChart>
        <c:barDir val="bar"/>
        <c:grouping val="stacked"/>
        <c:varyColors val="0"/>
        <c:ser>
          <c:idx val="0"/>
          <c:order val="0"/>
          <c:tx>
            <c:strRef>
              <c:f>Auxiliar!$H$29</c:f>
              <c:strCache>
                <c:ptCount val="1"/>
                <c:pt idx="0">
                  <c:v>Total</c:v>
                </c:pt>
              </c:strCache>
            </c:strRef>
          </c:tx>
          <c:spPr>
            <a:solidFill>
              <a:srgbClr val="C92C6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Auxiliar!$G$30:$G$42</c:f>
              <c:multiLvlStrCache>
                <c:ptCount val="9"/>
                <c:lvl>
                  <c:pt idx="0">
                    <c:v>Food and beverages</c:v>
                  </c:pt>
                  <c:pt idx="1">
                    <c:v>Electronic accessories</c:v>
                  </c:pt>
                  <c:pt idx="2">
                    <c:v>Home and lifestyle</c:v>
                  </c:pt>
                  <c:pt idx="3">
                    <c:v>Home and lifestyle</c:v>
                  </c:pt>
                  <c:pt idx="4">
                    <c:v>Sports and travel</c:v>
                  </c:pt>
                  <c:pt idx="5">
                    <c:v>Electronic accessories</c:v>
                  </c:pt>
                  <c:pt idx="6">
                    <c:v>Health and beauty</c:v>
                  </c:pt>
                  <c:pt idx="7">
                    <c:v>Fashion accessories</c:v>
                  </c:pt>
                  <c:pt idx="8">
                    <c:v>Electronic accessories</c:v>
                  </c:pt>
                </c:lvl>
                <c:lvl>
                  <c:pt idx="0">
                    <c:v>Valencia</c:v>
                  </c:pt>
                  <c:pt idx="3">
                    <c:v>Barcelona</c:v>
                  </c:pt>
                  <c:pt idx="6">
                    <c:v>Madrid</c:v>
                  </c:pt>
                </c:lvl>
              </c:multiLvlStrCache>
            </c:multiLvlStrRef>
          </c:cat>
          <c:val>
            <c:numRef>
              <c:f>Auxiliar!$H$30:$H$42</c:f>
              <c:numCache>
                <c:formatCode>_(* #,##0_);_(* \(#,##0\);_(* "-"??_);_(@_)</c:formatCode>
                <c:ptCount val="9"/>
                <c:pt idx="0">
                  <c:v>364</c:v>
                </c:pt>
                <c:pt idx="1">
                  <c:v>362</c:v>
                </c:pt>
                <c:pt idx="2">
                  <c:v>308</c:v>
                </c:pt>
                <c:pt idx="3">
                  <c:v>371</c:v>
                </c:pt>
                <c:pt idx="4">
                  <c:v>333</c:v>
                </c:pt>
                <c:pt idx="5">
                  <c:v>322</c:v>
                </c:pt>
                <c:pt idx="6">
                  <c:v>365</c:v>
                </c:pt>
                <c:pt idx="7">
                  <c:v>335</c:v>
                </c:pt>
                <c:pt idx="8">
                  <c:v>287</c:v>
                </c:pt>
              </c:numCache>
            </c:numRef>
          </c:val>
          <c:extLst>
            <c:ext xmlns:c16="http://schemas.microsoft.com/office/drawing/2014/chart" uri="{C3380CC4-5D6E-409C-BE32-E72D297353CC}">
              <c16:uniqueId val="{00000000-CE49-7744-AE38-4B92CCE84D71}"/>
            </c:ext>
          </c:extLst>
        </c:ser>
        <c:dLbls>
          <c:showLegendKey val="0"/>
          <c:showVal val="1"/>
          <c:showCatName val="0"/>
          <c:showSerName val="0"/>
          <c:showPercent val="0"/>
          <c:showBubbleSize val="0"/>
        </c:dLbls>
        <c:gapWidth val="75"/>
        <c:overlap val="100"/>
        <c:axId val="1468502096"/>
        <c:axId val="1883339728"/>
      </c:barChart>
      <c:catAx>
        <c:axId val="1468502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332C39"/>
                </a:solidFill>
                <a:latin typeface="+mn-lt"/>
                <a:ea typeface="+mn-ea"/>
                <a:cs typeface="+mn-cs"/>
              </a:defRPr>
            </a:pPr>
            <a:endParaRPr lang="es-AR"/>
          </a:p>
        </c:txPr>
        <c:crossAx val="1883339728"/>
        <c:crosses val="autoZero"/>
        <c:auto val="1"/>
        <c:lblAlgn val="ctr"/>
        <c:lblOffset val="100"/>
        <c:noMultiLvlLbl val="0"/>
      </c:catAx>
      <c:valAx>
        <c:axId val="1883339728"/>
        <c:scaling>
          <c:orientation val="minMax"/>
        </c:scaling>
        <c:delete val="1"/>
        <c:axPos val="b"/>
        <c:numFmt formatCode="_(* #,##0_);_(* \(#,##0\);_(* &quot;-&quot;??_);_(@_)" sourceLinked="1"/>
        <c:majorTickMark val="none"/>
        <c:minorTickMark val="none"/>
        <c:tickLblPos val="nextTo"/>
        <c:crossAx val="1468502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127000">
        <a:srgbClr val="F0EEED"/>
      </a:glow>
      <a:softEdge rad="3175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pivotSource>
    <c:name>[PF - Lentini .xlsm]Auxiliar!TablaDinámica4</c:name>
    <c:fmtId val="10"/>
  </c:pivotSource>
  <c:chart>
    <c:title>
      <c:tx>
        <c:rich>
          <a:bodyPr rot="0" spcFirstLastPara="1" vertOverflow="ellipsis" vert="horz" wrap="square" anchor="ctr" anchorCtr="1"/>
          <a:lstStyle/>
          <a:p>
            <a:pPr>
              <a:defRPr sz="1400" b="1" i="0" u="none" strike="noStrike" kern="1200" spc="0" baseline="0">
                <a:solidFill>
                  <a:srgbClr val="332C39"/>
                </a:solidFill>
                <a:latin typeface="+mn-lt"/>
                <a:ea typeface="+mn-ea"/>
                <a:cs typeface="+mn-cs"/>
              </a:defRPr>
            </a:pPr>
            <a:r>
              <a:rPr lang="en-US" b="1">
                <a:solidFill>
                  <a:srgbClr val="332C39"/>
                </a:solidFill>
              </a:rPr>
              <a:t>PRODUCTOS</a:t>
            </a:r>
            <a:r>
              <a:rPr lang="en-US" b="1" baseline="0">
                <a:solidFill>
                  <a:srgbClr val="332C39"/>
                </a:solidFill>
              </a:rPr>
              <a:t> MENOS VENDIDOS</a:t>
            </a:r>
            <a:endParaRPr lang="en-US" b="1">
              <a:solidFill>
                <a:srgbClr val="332C39"/>
              </a:solidFill>
            </a:endParaRPr>
          </a:p>
        </c:rich>
      </c:tx>
      <c:layout>
        <c:manualLayout>
          <c:xMode val="edge"/>
          <c:yMode val="edge"/>
          <c:x val="0.26222770926523276"/>
          <c:y val="1.925133041346400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332C39"/>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92C6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Auxiliar!$H$45</c:f>
              <c:strCache>
                <c:ptCount val="1"/>
                <c:pt idx="0">
                  <c:v>Total</c:v>
                </c:pt>
              </c:strCache>
            </c:strRef>
          </c:tx>
          <c:spPr>
            <a:solidFill>
              <a:srgbClr val="C92C6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0EEED"/>
                    </a:solidFill>
                    <a:latin typeface="Avenir Black" panose="02000503020000020003" pitchFamily="2" charset="0"/>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Auxiliar!$G$46:$G$58</c:f>
              <c:multiLvlStrCache>
                <c:ptCount val="9"/>
                <c:lvl>
                  <c:pt idx="0">
                    <c:v>Sports and travel</c:v>
                  </c:pt>
                  <c:pt idx="1">
                    <c:v>Fashion accessories</c:v>
                  </c:pt>
                  <c:pt idx="2">
                    <c:v>Health and beauty</c:v>
                  </c:pt>
                  <c:pt idx="3">
                    <c:v>Food and beverages</c:v>
                  </c:pt>
                  <c:pt idx="4">
                    <c:v>Fashion accessories</c:v>
                  </c:pt>
                  <c:pt idx="5">
                    <c:v>Health and beauty</c:v>
                  </c:pt>
                  <c:pt idx="6">
                    <c:v>Sports and travel</c:v>
                  </c:pt>
                  <c:pt idx="7">
                    <c:v>Food and beverages</c:v>
                  </c:pt>
                  <c:pt idx="8">
                    <c:v>Home and lifestyle</c:v>
                  </c:pt>
                </c:lvl>
                <c:lvl>
                  <c:pt idx="0">
                    <c:v>Valencia</c:v>
                  </c:pt>
                  <c:pt idx="3">
                    <c:v>Barcelona</c:v>
                  </c:pt>
                  <c:pt idx="6">
                    <c:v>Madrid</c:v>
                  </c:pt>
                </c:lvl>
              </c:multiLvlStrCache>
            </c:multiLvlStrRef>
          </c:cat>
          <c:val>
            <c:numRef>
              <c:f>Auxiliar!$H$46:$H$58</c:f>
              <c:numCache>
                <c:formatCode>0</c:formatCode>
                <c:ptCount val="9"/>
                <c:pt idx="0">
                  <c:v>307</c:v>
                </c:pt>
                <c:pt idx="1">
                  <c:v>304</c:v>
                </c:pt>
                <c:pt idx="2">
                  <c:v>232</c:v>
                </c:pt>
                <c:pt idx="3">
                  <c:v>313</c:v>
                </c:pt>
                <c:pt idx="4">
                  <c:v>263</c:v>
                </c:pt>
                <c:pt idx="5">
                  <c:v>257</c:v>
                </c:pt>
                <c:pt idx="6">
                  <c:v>280</c:v>
                </c:pt>
                <c:pt idx="7">
                  <c:v>275</c:v>
                </c:pt>
                <c:pt idx="8">
                  <c:v>232</c:v>
                </c:pt>
              </c:numCache>
            </c:numRef>
          </c:val>
          <c:extLst>
            <c:ext xmlns:c16="http://schemas.microsoft.com/office/drawing/2014/chart" uri="{C3380CC4-5D6E-409C-BE32-E72D297353CC}">
              <c16:uniqueId val="{00000000-8C4A-DF40-9647-842CC2A94DE9}"/>
            </c:ext>
          </c:extLst>
        </c:ser>
        <c:dLbls>
          <c:showLegendKey val="0"/>
          <c:showVal val="1"/>
          <c:showCatName val="0"/>
          <c:showSerName val="0"/>
          <c:showPercent val="0"/>
          <c:showBubbleSize val="0"/>
        </c:dLbls>
        <c:gapWidth val="95"/>
        <c:overlap val="100"/>
        <c:axId val="1800017408"/>
        <c:axId val="1799740832"/>
      </c:barChart>
      <c:catAx>
        <c:axId val="1800017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332C39"/>
                </a:solidFill>
                <a:latin typeface="+mn-lt"/>
                <a:ea typeface="+mn-ea"/>
                <a:cs typeface="+mn-cs"/>
              </a:defRPr>
            </a:pPr>
            <a:endParaRPr lang="es-AR"/>
          </a:p>
        </c:txPr>
        <c:crossAx val="1799740832"/>
        <c:crosses val="autoZero"/>
        <c:auto val="1"/>
        <c:lblAlgn val="ctr"/>
        <c:lblOffset val="100"/>
        <c:noMultiLvlLbl val="0"/>
      </c:catAx>
      <c:valAx>
        <c:axId val="1799740832"/>
        <c:scaling>
          <c:orientation val="minMax"/>
        </c:scaling>
        <c:delete val="1"/>
        <c:axPos val="b"/>
        <c:numFmt formatCode="0" sourceLinked="1"/>
        <c:majorTickMark val="none"/>
        <c:minorTickMark val="none"/>
        <c:tickLblPos val="nextTo"/>
        <c:crossAx val="1800017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127000">
        <a:srgbClr val="F0EEED"/>
      </a:glow>
      <a:softEdge rad="317500"/>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data id="1">
      <cx:strDim type="cat">
        <cx:f>_xlchart.v2.0</cx:f>
      </cx:strDim>
      <cx:numDim type="val">
        <cx:f>_xlchart.v2.2</cx:f>
      </cx:numDim>
    </cx:data>
  </cx:chartData>
  <cx:chart>
    <cx:title pos="t" align="ctr" overlay="0">
      <cx:tx>
        <cx:txData>
          <cx:v>CANTIDAD DE VENTAS POR MILLON DE HABITANTES</cx:v>
        </cx:txData>
      </cx:tx>
      <cx:txPr>
        <a:bodyPr spcFirstLastPara="1" vertOverflow="ellipsis" horzOverflow="overflow" wrap="square" lIns="0" tIns="0" rIns="0" bIns="0" anchor="ctr" anchorCtr="1"/>
        <a:lstStyle/>
        <a:p>
          <a:pPr algn="ctr" rtl="0">
            <a:defRPr b="1"/>
          </a:pPr>
          <a:r>
            <a:rPr lang="es-MX" sz="1400" b="1" i="0" u="none" strike="noStrike" baseline="0">
              <a:solidFill>
                <a:sysClr val="windowText" lastClr="000000">
                  <a:lumMod val="65000"/>
                  <a:lumOff val="35000"/>
                </a:sysClr>
              </a:solidFill>
              <a:latin typeface="Calibri" panose="020F0502020204030204"/>
            </a:rPr>
            <a:t>CANTIDAD DE VENTAS POR MILLON DE HABITANTES</a:t>
          </a:r>
        </a:p>
      </cx:txPr>
    </cx:title>
    <cx:plotArea>
      <cx:plotAreaRegion>
        <cx:series layoutId="funnel" uniqueId="{050AE7DB-5D96-B349-A15C-21DCF8DCE412}" formatIdx="0">
          <cx:spPr>
            <a:solidFill>
              <a:srgbClr val="C92C6D"/>
            </a:solidFill>
          </cx:spPr>
          <cx:dataLabels>
            <cx:txPr>
              <a:bodyPr spcFirstLastPara="1" vertOverflow="ellipsis" horzOverflow="overflow" wrap="square" lIns="0" tIns="0" rIns="0" bIns="0" anchor="ctr" anchorCtr="1"/>
              <a:lstStyle/>
              <a:p>
                <a:pPr algn="ctr" rtl="0">
                  <a:defRPr sz="1400" b="1" i="0">
                    <a:solidFill>
                      <a:srgbClr val="F0EEED"/>
                    </a:solidFill>
                    <a:latin typeface="Avenir Black" panose="02000503020000020003" pitchFamily="2" charset="0"/>
                    <a:ea typeface="Avenir Black" panose="02000503020000020003" pitchFamily="2" charset="0"/>
                    <a:cs typeface="Avenir Black" panose="02000503020000020003" pitchFamily="2" charset="0"/>
                  </a:defRPr>
                </a:pPr>
                <a:endParaRPr lang="es-MX" sz="1400" b="1" i="0" u="none" strike="noStrike" baseline="0">
                  <a:solidFill>
                    <a:srgbClr val="F0EEED"/>
                  </a:solidFill>
                  <a:latin typeface="Avenir Black" panose="02000503020000020003" pitchFamily="2" charset="0"/>
                </a:endParaRPr>
              </a:p>
            </cx:txPr>
            <cx:visibility seriesName="0" categoryName="0" value="1"/>
          </cx:dataLabels>
          <cx:dataId val="0"/>
        </cx:series>
        <cx:series layoutId="funnel" hidden="1" uniqueId="{B913E24A-4E79-5744-B9EA-3E21D278CFE0}" formatIdx="1">
          <cx:dataLabels>
            <cx:visibility seriesName="0" categoryName="0" value="1"/>
          </cx:dataLabels>
          <cx:dataId val="1"/>
        </cx:series>
      </cx:plotAreaRegion>
      <cx:axis id="0">
        <cx:catScaling gapWidth="0.0599999987"/>
        <cx:tickLabels/>
        <cx:txPr>
          <a:bodyPr spcFirstLastPara="1" vertOverflow="ellipsis" horzOverflow="overflow" wrap="square" lIns="0" tIns="0" rIns="0" bIns="0" anchor="ctr" anchorCtr="1"/>
          <a:lstStyle/>
          <a:p>
            <a:pPr algn="ctr" rtl="0">
              <a:defRPr sz="1100" b="1"/>
            </a:pPr>
            <a:endParaRPr lang="es-MX" sz="1100" b="1" i="0" u="none" strike="noStrike" baseline="0">
              <a:solidFill>
                <a:sysClr val="windowText" lastClr="000000">
                  <a:lumMod val="65000"/>
                  <a:lumOff val="35000"/>
                </a:sysClr>
              </a:solidFill>
              <a:latin typeface="Calibri" panose="020F0502020204030204"/>
            </a:endParaRPr>
          </a:p>
        </cx:txPr>
      </cx:axis>
    </cx:plotArea>
  </cx:chart>
  <cx:spPr>
    <a:solidFill>
      <a:schemeClr val="bg1"/>
    </a:solidFill>
    <a:ln>
      <a:solidFill>
        <a:srgbClr val="F0EEED"/>
      </a:solidFill>
    </a:ln>
    <a:effectLst>
      <a:softEdge rad="317500"/>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6.sv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5.png"/><Relationship Id="rId17" Type="http://schemas.openxmlformats.org/officeDocument/2006/relationships/image" Target="../media/image10.svg"/><Relationship Id="rId2" Type="http://schemas.openxmlformats.org/officeDocument/2006/relationships/chart" Target="../charts/chart2.xml"/><Relationship Id="rId16" Type="http://schemas.openxmlformats.org/officeDocument/2006/relationships/image" Target="../media/image9.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4.svg"/><Relationship Id="rId5" Type="http://schemas.openxmlformats.org/officeDocument/2006/relationships/chart" Target="../charts/chart4.xml"/><Relationship Id="rId15" Type="http://schemas.openxmlformats.org/officeDocument/2006/relationships/image" Target="../media/image8.svg"/><Relationship Id="rId10" Type="http://schemas.openxmlformats.org/officeDocument/2006/relationships/image" Target="../media/image3.png"/><Relationship Id="rId4" Type="http://schemas.microsoft.com/office/2014/relationships/chartEx" Target="../charts/chartEx1.xml"/><Relationship Id="rId9" Type="http://schemas.openxmlformats.org/officeDocument/2006/relationships/chart" Target="../charts/chart8.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13</xdr:row>
      <xdr:rowOff>0</xdr:rowOff>
    </xdr:from>
    <xdr:to>
      <xdr:col>4</xdr:col>
      <xdr:colOff>0</xdr:colOff>
      <xdr:row>17</xdr:row>
      <xdr:rowOff>0</xdr:rowOff>
    </xdr:to>
    <xdr:sp macro="[0]!BOTON_DASHBOARD" textlink="">
      <xdr:nvSpPr>
        <xdr:cNvPr id="24" name="Rectángulo redondeado 23">
          <a:extLst>
            <a:ext uri="{FF2B5EF4-FFF2-40B4-BE49-F238E27FC236}">
              <a16:creationId xmlns:a16="http://schemas.microsoft.com/office/drawing/2014/main" id="{EC677085-3802-EF48-8F17-9520BE8AF5C7}"/>
            </a:ext>
          </a:extLst>
        </xdr:cNvPr>
        <xdr:cNvSpPr/>
      </xdr:nvSpPr>
      <xdr:spPr>
        <a:xfrm>
          <a:off x="825500" y="3530600"/>
          <a:ext cx="5372100" cy="965200"/>
        </a:xfrm>
        <a:prstGeom prst="roundRect">
          <a:avLst/>
        </a:prstGeom>
        <a:solidFill>
          <a:srgbClr val="C92C6D"/>
        </a:solid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400" b="1" i="0" baseline="0">
              <a:solidFill>
                <a:srgbClr val="F0EEED"/>
              </a:solidFill>
              <a:latin typeface="Calibri" panose="020F0502020204030204" pitchFamily="34" charset="0"/>
              <a:cs typeface="Calibri" panose="020F0502020204030204" pitchFamily="34" charset="0"/>
            </a:rPr>
            <a:t>DASHBOARD</a:t>
          </a:r>
          <a:endParaRPr lang="es-MX" sz="2400" b="1" i="0">
            <a:solidFill>
              <a:srgbClr val="F0EEED"/>
            </a:solidFill>
            <a:latin typeface="Calibri" panose="020F0502020204030204" pitchFamily="34" charset="0"/>
            <a:cs typeface="Calibri" panose="020F0502020204030204" pitchFamily="34" charset="0"/>
          </a:endParaRPr>
        </a:p>
      </xdr:txBody>
    </xdr:sp>
    <xdr:clientData/>
  </xdr:twoCellAnchor>
  <xdr:twoCellAnchor editAs="oneCell">
    <xdr:from>
      <xdr:col>3</xdr:col>
      <xdr:colOff>1610360</xdr:colOff>
      <xdr:row>13</xdr:row>
      <xdr:rowOff>76200</xdr:rowOff>
    </xdr:from>
    <xdr:to>
      <xdr:col>3</xdr:col>
      <xdr:colOff>2433320</xdr:colOff>
      <xdr:row>16</xdr:row>
      <xdr:rowOff>175260</xdr:rowOff>
    </xdr:to>
    <xdr:pic macro="[0]!BOTON_DASHBOARD">
      <xdr:nvPicPr>
        <xdr:cNvPr id="26" name="Gráfico 25" descr="Bar chart con relleno sólido">
          <a:extLst>
            <a:ext uri="{FF2B5EF4-FFF2-40B4-BE49-F238E27FC236}">
              <a16:creationId xmlns:a16="http://schemas.microsoft.com/office/drawing/2014/main" id="{AE508DC8-1A07-2147-88F4-41CC0D90F98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925060" y="3606800"/>
          <a:ext cx="822960" cy="8229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412750</xdr:colOff>
      <xdr:row>4</xdr:row>
      <xdr:rowOff>145144</xdr:rowOff>
    </xdr:from>
    <xdr:to>
      <xdr:col>33</xdr:col>
      <xdr:colOff>825499</xdr:colOff>
      <xdr:row>49</xdr:row>
      <xdr:rowOff>108858</xdr:rowOff>
    </xdr:to>
    <xdr:sp macro="" textlink="">
      <xdr:nvSpPr>
        <xdr:cNvPr id="35" name="Redondear rectángulo de esquina diagonal 34">
          <a:extLst>
            <a:ext uri="{FF2B5EF4-FFF2-40B4-BE49-F238E27FC236}">
              <a16:creationId xmlns:a16="http://schemas.microsoft.com/office/drawing/2014/main" id="{06620309-F939-C24C-BC22-A07CABA07F7D}"/>
            </a:ext>
          </a:extLst>
        </xdr:cNvPr>
        <xdr:cNvSpPr/>
      </xdr:nvSpPr>
      <xdr:spPr>
        <a:xfrm>
          <a:off x="3751036" y="943430"/>
          <a:ext cx="24615320" cy="8944428"/>
        </a:xfrm>
        <a:prstGeom prst="round2DiagRect">
          <a:avLst/>
        </a:prstGeom>
        <a:solidFill>
          <a:srgbClr val="F0EEED"/>
        </a:solidFill>
        <a:ln>
          <a:solidFill>
            <a:srgbClr val="F0EE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6349</xdr:colOff>
      <xdr:row>5</xdr:row>
      <xdr:rowOff>2014</xdr:rowOff>
    </xdr:from>
    <xdr:to>
      <xdr:col>4</xdr:col>
      <xdr:colOff>206374</xdr:colOff>
      <xdr:row>49</xdr:row>
      <xdr:rowOff>155222</xdr:rowOff>
    </xdr:to>
    <xdr:sp macro="" textlink="">
      <xdr:nvSpPr>
        <xdr:cNvPr id="23" name="Rectángulo redondeado 22">
          <a:extLst>
            <a:ext uri="{FF2B5EF4-FFF2-40B4-BE49-F238E27FC236}">
              <a16:creationId xmlns:a16="http://schemas.microsoft.com/office/drawing/2014/main" id="{86DDE8BD-02A7-854F-92D4-F2859901E70B}"/>
            </a:ext>
          </a:extLst>
        </xdr:cNvPr>
        <xdr:cNvSpPr/>
      </xdr:nvSpPr>
      <xdr:spPr>
        <a:xfrm>
          <a:off x="6349" y="1033889"/>
          <a:ext cx="3502025" cy="9233708"/>
        </a:xfrm>
        <a:prstGeom prst="roundRect">
          <a:avLst/>
        </a:prstGeom>
        <a:solidFill>
          <a:srgbClr val="F0EEED"/>
        </a:solidFill>
        <a:ln>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MX" sz="1100"/>
        </a:p>
      </xdr:txBody>
    </xdr:sp>
    <xdr:clientData/>
  </xdr:twoCellAnchor>
  <xdr:twoCellAnchor>
    <xdr:from>
      <xdr:col>0</xdr:col>
      <xdr:colOff>611540</xdr:colOff>
      <xdr:row>9</xdr:row>
      <xdr:rowOff>142875</xdr:rowOff>
    </xdr:from>
    <xdr:to>
      <xdr:col>3</xdr:col>
      <xdr:colOff>332140</xdr:colOff>
      <xdr:row>13</xdr:row>
      <xdr:rowOff>142875</xdr:rowOff>
    </xdr:to>
    <xdr:sp macro="[0]!BOTON_TABLA_VENTAS" textlink="">
      <xdr:nvSpPr>
        <xdr:cNvPr id="24" name="Rectángulo redondeado 23">
          <a:extLst>
            <a:ext uri="{FF2B5EF4-FFF2-40B4-BE49-F238E27FC236}">
              <a16:creationId xmlns:a16="http://schemas.microsoft.com/office/drawing/2014/main" id="{C1AE5CCD-D122-1845-9762-CE880ABD4ACB}"/>
            </a:ext>
          </a:extLst>
        </xdr:cNvPr>
        <xdr:cNvSpPr/>
      </xdr:nvSpPr>
      <xdr:spPr>
        <a:xfrm>
          <a:off x="611540" y="2000250"/>
          <a:ext cx="2197100" cy="825500"/>
        </a:xfrm>
        <a:prstGeom prst="roundRect">
          <a:avLst/>
        </a:prstGeom>
        <a:solidFill>
          <a:srgbClr val="49A0A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1600" b="1">
              <a:solidFill>
                <a:srgbClr val="F0EEED"/>
              </a:solidFill>
              <a:latin typeface="+mn-lt"/>
            </a:rPr>
            <a:t>TABLA VENTAS</a:t>
          </a:r>
        </a:p>
      </xdr:txBody>
    </xdr:sp>
    <xdr:clientData/>
  </xdr:twoCellAnchor>
  <xdr:twoCellAnchor>
    <xdr:from>
      <xdr:col>0</xdr:col>
      <xdr:colOff>611540</xdr:colOff>
      <xdr:row>14</xdr:row>
      <xdr:rowOff>124038</xdr:rowOff>
    </xdr:from>
    <xdr:to>
      <xdr:col>3</xdr:col>
      <xdr:colOff>332140</xdr:colOff>
      <xdr:row>18</xdr:row>
      <xdr:rowOff>161290</xdr:rowOff>
    </xdr:to>
    <xdr:sp macro="[0]!BOTON_TABLA_POBLACION" textlink="">
      <xdr:nvSpPr>
        <xdr:cNvPr id="29" name="Rectángulo redondeado 28">
          <a:extLst>
            <a:ext uri="{FF2B5EF4-FFF2-40B4-BE49-F238E27FC236}">
              <a16:creationId xmlns:a16="http://schemas.microsoft.com/office/drawing/2014/main" id="{90A20FAB-448D-2A46-832F-09C02D25B422}"/>
            </a:ext>
          </a:extLst>
        </xdr:cNvPr>
        <xdr:cNvSpPr/>
      </xdr:nvSpPr>
      <xdr:spPr>
        <a:xfrm>
          <a:off x="611540" y="3013288"/>
          <a:ext cx="2197100" cy="862752"/>
        </a:xfrm>
        <a:prstGeom prst="roundRect">
          <a:avLst/>
        </a:prstGeom>
        <a:solidFill>
          <a:srgbClr val="49A0A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1600" b="1">
              <a:solidFill>
                <a:srgbClr val="F0EEED"/>
              </a:solidFill>
              <a:latin typeface="+mn-lt"/>
            </a:rPr>
            <a:t>TABLA</a:t>
          </a:r>
        </a:p>
        <a:p>
          <a:pPr algn="l"/>
          <a:r>
            <a:rPr lang="es-MX" sz="1600" b="1">
              <a:solidFill>
                <a:srgbClr val="F0EEED"/>
              </a:solidFill>
              <a:latin typeface="+mn-lt"/>
            </a:rPr>
            <a:t>POBLACIÓN</a:t>
          </a:r>
        </a:p>
      </xdr:txBody>
    </xdr:sp>
    <xdr:clientData/>
  </xdr:twoCellAnchor>
  <xdr:twoCellAnchor>
    <xdr:from>
      <xdr:col>0</xdr:col>
      <xdr:colOff>611540</xdr:colOff>
      <xdr:row>24</xdr:row>
      <xdr:rowOff>95250</xdr:rowOff>
    </xdr:from>
    <xdr:to>
      <xdr:col>3</xdr:col>
      <xdr:colOff>332140</xdr:colOff>
      <xdr:row>28</xdr:row>
      <xdr:rowOff>187324</xdr:rowOff>
    </xdr:to>
    <xdr:sp macro="[0]!BOTON_INFORME" textlink="">
      <xdr:nvSpPr>
        <xdr:cNvPr id="30" name="Rectángulo redondeado 29">
          <a:extLst>
            <a:ext uri="{FF2B5EF4-FFF2-40B4-BE49-F238E27FC236}">
              <a16:creationId xmlns:a16="http://schemas.microsoft.com/office/drawing/2014/main" id="{3A65314D-B111-8441-9D9F-998848F49BC1}"/>
            </a:ext>
          </a:extLst>
        </xdr:cNvPr>
        <xdr:cNvSpPr/>
      </xdr:nvSpPr>
      <xdr:spPr>
        <a:xfrm>
          <a:off x="611540" y="5048250"/>
          <a:ext cx="2197100" cy="917574"/>
        </a:xfrm>
        <a:prstGeom prst="roundRect">
          <a:avLst/>
        </a:prstGeom>
        <a:solidFill>
          <a:srgbClr val="49A0A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1600" b="1">
              <a:solidFill>
                <a:srgbClr val="F0EEED"/>
              </a:solidFill>
              <a:latin typeface="+mn-lt"/>
            </a:rPr>
            <a:t>README</a:t>
          </a:r>
        </a:p>
      </xdr:txBody>
    </xdr:sp>
    <xdr:clientData/>
  </xdr:twoCellAnchor>
  <xdr:twoCellAnchor>
    <xdr:from>
      <xdr:col>0</xdr:col>
      <xdr:colOff>611540</xdr:colOff>
      <xdr:row>19</xdr:row>
      <xdr:rowOff>69849</xdr:rowOff>
    </xdr:from>
    <xdr:to>
      <xdr:col>3</xdr:col>
      <xdr:colOff>332140</xdr:colOff>
      <xdr:row>23</xdr:row>
      <xdr:rowOff>162559</xdr:rowOff>
    </xdr:to>
    <xdr:sp macro="[0]!BOTON_AUXILIAR" textlink="">
      <xdr:nvSpPr>
        <xdr:cNvPr id="31" name="Rectángulo redondeado 30">
          <a:extLst>
            <a:ext uri="{FF2B5EF4-FFF2-40B4-BE49-F238E27FC236}">
              <a16:creationId xmlns:a16="http://schemas.microsoft.com/office/drawing/2014/main" id="{1F4D3C1B-3C1B-B44D-B487-903CE7FDBEDA}"/>
            </a:ext>
          </a:extLst>
        </xdr:cNvPr>
        <xdr:cNvSpPr/>
      </xdr:nvSpPr>
      <xdr:spPr>
        <a:xfrm>
          <a:off x="611540" y="3990974"/>
          <a:ext cx="2197100" cy="918210"/>
        </a:xfrm>
        <a:prstGeom prst="roundRect">
          <a:avLst/>
        </a:prstGeom>
        <a:solidFill>
          <a:srgbClr val="49A0A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1600" b="1">
              <a:solidFill>
                <a:srgbClr val="F0EEED"/>
              </a:solidFill>
              <a:latin typeface="+mn-lt"/>
            </a:rPr>
            <a:t>AUXILIAR</a:t>
          </a:r>
        </a:p>
      </xdr:txBody>
    </xdr:sp>
    <xdr:clientData/>
  </xdr:twoCellAnchor>
  <xdr:twoCellAnchor editAs="oneCell">
    <xdr:from>
      <xdr:col>0</xdr:col>
      <xdr:colOff>188166</xdr:colOff>
      <xdr:row>33</xdr:row>
      <xdr:rowOff>40923</xdr:rowOff>
    </xdr:from>
    <xdr:to>
      <xdr:col>3</xdr:col>
      <xdr:colOff>821049</xdr:colOff>
      <xdr:row>40</xdr:row>
      <xdr:rowOff>0</xdr:rowOff>
    </xdr:to>
    <mc:AlternateContent xmlns:mc="http://schemas.openxmlformats.org/markup-compatibility/2006" xmlns:a14="http://schemas.microsoft.com/office/drawing/2010/main">
      <mc:Choice Requires="a14">
        <xdr:graphicFrame macro="">
          <xdr:nvGraphicFramePr>
            <xdr:cNvPr id="33" name="SUCURSALS">
              <a:extLst>
                <a:ext uri="{FF2B5EF4-FFF2-40B4-BE49-F238E27FC236}">
                  <a16:creationId xmlns:a16="http://schemas.microsoft.com/office/drawing/2014/main" id="{0E6E2CE3-50AF-5F48-8135-8B990FDAE2CD}"/>
                </a:ext>
              </a:extLst>
            </xdr:cNvPr>
            <xdr:cNvGraphicFramePr/>
          </xdr:nvGraphicFramePr>
          <xdr:xfrm>
            <a:off x="0" y="0"/>
            <a:ext cx="0" cy="0"/>
          </xdr:xfrm>
          <a:graphic>
            <a:graphicData uri="http://schemas.microsoft.com/office/drawing/2010/slicer">
              <sle:slicer xmlns:sle="http://schemas.microsoft.com/office/drawing/2010/slicer" name="SUCURSALS"/>
            </a:graphicData>
          </a:graphic>
        </xdr:graphicFrame>
      </mc:Choice>
      <mc:Fallback xmlns="">
        <xdr:sp macro="" textlink="">
          <xdr:nvSpPr>
            <xdr:cNvPr id="0" name=""/>
            <xdr:cNvSpPr>
              <a:spLocks noTextEdit="1"/>
            </xdr:cNvSpPr>
          </xdr:nvSpPr>
          <xdr:spPr>
            <a:xfrm>
              <a:off x="188166" y="7025923"/>
              <a:ext cx="3109383" cy="1440744"/>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188166</xdr:colOff>
      <xdr:row>41</xdr:row>
      <xdr:rowOff>0</xdr:rowOff>
    </xdr:from>
    <xdr:to>
      <xdr:col>3</xdr:col>
      <xdr:colOff>821049</xdr:colOff>
      <xdr:row>47</xdr:row>
      <xdr:rowOff>104775</xdr:rowOff>
    </xdr:to>
    <mc:AlternateContent xmlns:mc="http://schemas.openxmlformats.org/markup-compatibility/2006" xmlns:tsle="http://schemas.microsoft.com/office/drawing/2012/timeslicer">
      <mc:Choice Requires="tsle">
        <xdr:graphicFrame macro="">
          <xdr:nvGraphicFramePr>
            <xdr:cNvPr id="34" name="FECHA/ Date">
              <a:extLst>
                <a:ext uri="{FF2B5EF4-FFF2-40B4-BE49-F238E27FC236}">
                  <a16:creationId xmlns:a16="http://schemas.microsoft.com/office/drawing/2014/main" id="{256310C7-CC4A-E147-ABF7-95E024A03732}"/>
                </a:ext>
              </a:extLst>
            </xdr:cNvPr>
            <xdr:cNvGraphicFramePr/>
          </xdr:nvGraphicFramePr>
          <xdr:xfrm>
            <a:off x="0" y="0"/>
            <a:ext cx="0" cy="0"/>
          </xdr:xfrm>
          <a:graphic>
            <a:graphicData uri="http://schemas.microsoft.com/office/drawing/2012/timeslicer">
              <tsle:timeslicer name="FECHA/ Date"/>
            </a:graphicData>
          </a:graphic>
        </xdr:graphicFrame>
      </mc:Choice>
      <mc:Fallback xmlns="">
        <xdr:sp macro="" textlink="">
          <xdr:nvSpPr>
            <xdr:cNvPr id="0" name=""/>
            <xdr:cNvSpPr>
              <a:spLocks noTextEdit="1"/>
            </xdr:cNvSpPr>
          </xdr:nvSpPr>
          <xdr:spPr>
            <a:xfrm>
              <a:off x="188166" y="8678333"/>
              <a:ext cx="3109383" cy="1374775"/>
            </a:xfrm>
            <a:prstGeom prst="rect">
              <a:avLst/>
            </a:prstGeom>
            <a:solidFill>
              <a:prstClr val="white"/>
            </a:solidFill>
            <a:ln w="1">
              <a:solidFill>
                <a:prstClr val="green"/>
              </a:solidFill>
            </a:ln>
          </xdr:spPr>
          <xdr:txBody>
            <a:bodyPr vertOverflow="clip" horzOverflow="clip"/>
            <a:lstStyle/>
            <a:p>
              <a:r>
                <a:rPr lang="es-MX" sz="1100"/>
                <a:t>Línea de tiempo: Funciona en Excel 2013 o superior. No mover ni cambiar el tamaño.</a:t>
              </a:r>
            </a:p>
          </xdr:txBody>
        </xdr:sp>
      </mc:Fallback>
    </mc:AlternateContent>
    <xdr:clientData/>
  </xdr:twoCellAnchor>
  <xdr:twoCellAnchor>
    <xdr:from>
      <xdr:col>5</xdr:col>
      <xdr:colOff>0</xdr:colOff>
      <xdr:row>6</xdr:row>
      <xdr:rowOff>123371</xdr:rowOff>
    </xdr:from>
    <xdr:to>
      <xdr:col>14</xdr:col>
      <xdr:colOff>784224</xdr:colOff>
      <xdr:row>19</xdr:row>
      <xdr:rowOff>174171</xdr:rowOff>
    </xdr:to>
    <xdr:graphicFrame macro="">
      <xdr:nvGraphicFramePr>
        <xdr:cNvPr id="37" name="Gráfico 36">
          <a:extLst>
            <a:ext uri="{FF2B5EF4-FFF2-40B4-BE49-F238E27FC236}">
              <a16:creationId xmlns:a16="http://schemas.microsoft.com/office/drawing/2014/main" id="{703E0179-672E-1E4C-B888-5379E8E6D2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784225</xdr:colOff>
      <xdr:row>5</xdr:row>
      <xdr:rowOff>169787</xdr:rowOff>
    </xdr:from>
    <xdr:to>
      <xdr:col>25</xdr:col>
      <xdr:colOff>396875</xdr:colOff>
      <xdr:row>19</xdr:row>
      <xdr:rowOff>69850</xdr:rowOff>
    </xdr:to>
    <xdr:graphicFrame macro="">
      <xdr:nvGraphicFramePr>
        <xdr:cNvPr id="38" name="Gráfico 37">
          <a:extLst>
            <a:ext uri="{FF2B5EF4-FFF2-40B4-BE49-F238E27FC236}">
              <a16:creationId xmlns:a16="http://schemas.microsoft.com/office/drawing/2014/main" id="{C1AC8356-C7E3-1D4A-AD4B-ACA099E01D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19</xdr:row>
      <xdr:rowOff>38100</xdr:rowOff>
    </xdr:from>
    <xdr:to>
      <xdr:col>12</xdr:col>
      <xdr:colOff>0</xdr:colOff>
      <xdr:row>33</xdr:row>
      <xdr:rowOff>104775</xdr:rowOff>
    </xdr:to>
    <xdr:graphicFrame macro="">
      <xdr:nvGraphicFramePr>
        <xdr:cNvPr id="39" name="Gráfico 38">
          <a:extLst>
            <a:ext uri="{FF2B5EF4-FFF2-40B4-BE49-F238E27FC236}">
              <a16:creationId xmlns:a16="http://schemas.microsoft.com/office/drawing/2014/main" id="{F06E7E42-184C-3A4C-B565-7F517433B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33</xdr:row>
      <xdr:rowOff>79375</xdr:rowOff>
    </xdr:from>
    <xdr:to>
      <xdr:col>11</xdr:col>
      <xdr:colOff>793750</xdr:colOff>
      <xdr:row>46</xdr:row>
      <xdr:rowOff>66322</xdr:rowOff>
    </xdr:to>
    <mc:AlternateContent xmlns:mc="http://schemas.openxmlformats.org/markup-compatibility/2006">
      <mc:Choice xmlns:cx2="http://schemas.microsoft.com/office/drawing/2015/10/21/chartex" Requires="cx2">
        <xdr:graphicFrame macro="">
          <xdr:nvGraphicFramePr>
            <xdr:cNvPr id="40" name="Gráfico 39">
              <a:extLst>
                <a:ext uri="{FF2B5EF4-FFF2-40B4-BE49-F238E27FC236}">
                  <a16:creationId xmlns:a16="http://schemas.microsoft.com/office/drawing/2014/main" id="{C9778C5B-205E-D14E-99EA-D0A10EDE540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4127500" y="6784975"/>
              <a:ext cx="5746750" cy="2628547"/>
            </a:xfrm>
            <a:prstGeom prst="rect">
              <a:avLst/>
            </a:prstGeom>
            <a:solidFill>
              <a:prstClr val="white"/>
            </a:solidFill>
            <a:ln w="1">
              <a:solidFill>
                <a:prstClr val="green"/>
              </a:solidFill>
            </a:ln>
          </xdr:spPr>
          <xdr:txBody>
            <a:bodyPr vertOverflow="clip" horzOverflow="clip"/>
            <a:lstStyle/>
            <a:p>
              <a:r>
                <a:rPr lang="es-MX" sz="1100"/>
                <a:t>Este gráfico no está disponible en tu versión de Excel.
Si editas esta forma o guardas el libro en un formato de archivo diferente, el gráfico no se podrá utilizar.</a:t>
              </a:r>
            </a:p>
          </xdr:txBody>
        </xdr:sp>
      </mc:Fallback>
    </mc:AlternateContent>
    <xdr:clientData/>
  </xdr:twoCellAnchor>
  <xdr:twoCellAnchor>
    <xdr:from>
      <xdr:col>16</xdr:col>
      <xdr:colOff>315232</xdr:colOff>
      <xdr:row>18</xdr:row>
      <xdr:rowOff>193040</xdr:rowOff>
    </xdr:from>
    <xdr:to>
      <xdr:col>25</xdr:col>
      <xdr:colOff>396875</xdr:colOff>
      <xdr:row>31</xdr:row>
      <xdr:rowOff>206194</xdr:rowOff>
    </xdr:to>
    <xdr:graphicFrame macro="">
      <xdr:nvGraphicFramePr>
        <xdr:cNvPr id="42" name="Gráfico 41">
          <a:extLst>
            <a:ext uri="{FF2B5EF4-FFF2-40B4-BE49-F238E27FC236}">
              <a16:creationId xmlns:a16="http://schemas.microsoft.com/office/drawing/2014/main" id="{38033450-4D9D-1048-A9ED-2E569A0B8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426357</xdr:colOff>
      <xdr:row>33</xdr:row>
      <xdr:rowOff>0</xdr:rowOff>
    </xdr:from>
    <xdr:to>
      <xdr:col>25</xdr:col>
      <xdr:colOff>508000</xdr:colOff>
      <xdr:row>48</xdr:row>
      <xdr:rowOff>126999</xdr:rowOff>
    </xdr:to>
    <xdr:graphicFrame macro="">
      <xdr:nvGraphicFramePr>
        <xdr:cNvPr id="43" name="Gráfico 42">
          <a:extLst>
            <a:ext uri="{FF2B5EF4-FFF2-40B4-BE49-F238E27FC236}">
              <a16:creationId xmlns:a16="http://schemas.microsoft.com/office/drawing/2014/main" id="{50E4C034-C043-B94F-9AFA-0941E7785F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793750</xdr:colOff>
      <xdr:row>20</xdr:row>
      <xdr:rowOff>142874</xdr:rowOff>
    </xdr:from>
    <xdr:to>
      <xdr:col>16</xdr:col>
      <xdr:colOff>572861</xdr:colOff>
      <xdr:row>48</xdr:row>
      <xdr:rowOff>126999</xdr:rowOff>
    </xdr:to>
    <xdr:graphicFrame macro="">
      <xdr:nvGraphicFramePr>
        <xdr:cNvPr id="44" name="Gráfico 43">
          <a:extLst>
            <a:ext uri="{FF2B5EF4-FFF2-40B4-BE49-F238E27FC236}">
              <a16:creationId xmlns:a16="http://schemas.microsoft.com/office/drawing/2014/main" id="{EE1EDEA2-02DE-3641-A552-484FC81C43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396875</xdr:colOff>
      <xdr:row>6</xdr:row>
      <xdr:rowOff>15876</xdr:rowOff>
    </xdr:from>
    <xdr:to>
      <xdr:col>33</xdr:col>
      <xdr:colOff>288018</xdr:colOff>
      <xdr:row>27</xdr:row>
      <xdr:rowOff>90715</xdr:rowOff>
    </xdr:to>
    <xdr:graphicFrame macro="">
      <xdr:nvGraphicFramePr>
        <xdr:cNvPr id="45" name="Gráfico 44">
          <a:extLst>
            <a:ext uri="{FF2B5EF4-FFF2-40B4-BE49-F238E27FC236}">
              <a16:creationId xmlns:a16="http://schemas.microsoft.com/office/drawing/2014/main" id="{E9350B2B-D032-6843-BCD3-18A665A46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508000</xdr:colOff>
      <xdr:row>27</xdr:row>
      <xdr:rowOff>63500</xdr:rowOff>
    </xdr:from>
    <xdr:to>
      <xdr:col>33</xdr:col>
      <xdr:colOff>381000</xdr:colOff>
      <xdr:row>47</xdr:row>
      <xdr:rowOff>30240</xdr:rowOff>
    </xdr:to>
    <xdr:graphicFrame macro="">
      <xdr:nvGraphicFramePr>
        <xdr:cNvPr id="46" name="Gráfico 45">
          <a:extLst>
            <a:ext uri="{FF2B5EF4-FFF2-40B4-BE49-F238E27FC236}">
              <a16:creationId xmlns:a16="http://schemas.microsoft.com/office/drawing/2014/main" id="{FD6AC498-2779-634B-8784-A8EF07CAD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0</xdr:row>
      <xdr:rowOff>114300</xdr:rowOff>
    </xdr:from>
    <xdr:to>
      <xdr:col>33</xdr:col>
      <xdr:colOff>825498</xdr:colOff>
      <xdr:row>4</xdr:row>
      <xdr:rowOff>152400</xdr:rowOff>
    </xdr:to>
    <xdr:sp macro="" textlink="">
      <xdr:nvSpPr>
        <xdr:cNvPr id="22" name="Rectángulo redondeado 21">
          <a:extLst>
            <a:ext uri="{FF2B5EF4-FFF2-40B4-BE49-F238E27FC236}">
              <a16:creationId xmlns:a16="http://schemas.microsoft.com/office/drawing/2014/main" id="{404B6FAE-C0BE-BF48-8763-0532CFA9D738}"/>
            </a:ext>
          </a:extLst>
        </xdr:cNvPr>
        <xdr:cNvSpPr/>
      </xdr:nvSpPr>
      <xdr:spPr>
        <a:xfrm>
          <a:off x="0" y="114300"/>
          <a:ext cx="28066998" cy="863600"/>
        </a:xfrm>
        <a:prstGeom prst="roundRect">
          <a:avLst/>
        </a:prstGeom>
        <a:solidFill>
          <a:srgbClr val="332C39"/>
        </a:solidFill>
        <a:ln>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s-MX" sz="1100">
            <a:solidFill>
              <a:srgbClr val="F0EEED"/>
            </a:solidFill>
            <a:latin typeface="+mn-lt"/>
            <a:ea typeface="+mn-ea"/>
            <a:cs typeface="+mn-cs"/>
          </a:endParaRPr>
        </a:p>
      </xdr:txBody>
    </xdr:sp>
    <xdr:clientData/>
  </xdr:twoCellAnchor>
  <xdr:twoCellAnchor>
    <xdr:from>
      <xdr:col>13</xdr:col>
      <xdr:colOff>265088</xdr:colOff>
      <xdr:row>1</xdr:row>
      <xdr:rowOff>56445</xdr:rowOff>
    </xdr:from>
    <xdr:to>
      <xdr:col>18</xdr:col>
      <xdr:colOff>279199</xdr:colOff>
      <xdr:row>3</xdr:row>
      <xdr:rowOff>169334</xdr:rowOff>
    </xdr:to>
    <xdr:sp macro="" textlink="">
      <xdr:nvSpPr>
        <xdr:cNvPr id="47" name="CuadroTexto 46">
          <a:extLst>
            <a:ext uri="{FF2B5EF4-FFF2-40B4-BE49-F238E27FC236}">
              <a16:creationId xmlns:a16="http://schemas.microsoft.com/office/drawing/2014/main" id="{D5662345-AB46-8C44-B43C-705901AD41B1}"/>
            </a:ext>
          </a:extLst>
        </xdr:cNvPr>
        <xdr:cNvSpPr txBox="1"/>
      </xdr:nvSpPr>
      <xdr:spPr>
        <a:xfrm>
          <a:off x="11088310" y="254001"/>
          <a:ext cx="4176889" cy="508000"/>
        </a:xfrm>
        <a:prstGeom prst="rect">
          <a:avLst/>
        </a:prstGeom>
        <a:solidFill>
          <a:srgbClr val="332C3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a:solidFill>
                <a:srgbClr val="F0EEED"/>
              </a:solidFill>
            </a:rPr>
            <a:t>VENTAS SUPERMERCADO</a:t>
          </a:r>
          <a:r>
            <a:rPr lang="es-MX" sz="2400" b="1" baseline="0">
              <a:solidFill>
                <a:srgbClr val="F0EEED"/>
              </a:solidFill>
            </a:rPr>
            <a:t> 2019</a:t>
          </a:r>
          <a:endParaRPr lang="es-MX" sz="2400" b="1">
            <a:solidFill>
              <a:srgbClr val="F0EEED"/>
            </a:solidFill>
          </a:endParaRPr>
        </a:p>
      </xdr:txBody>
    </xdr:sp>
    <xdr:clientData/>
  </xdr:twoCellAnchor>
  <xdr:twoCellAnchor editAs="oneCell">
    <xdr:from>
      <xdr:col>2</xdr:col>
      <xdr:colOff>457889</xdr:colOff>
      <xdr:row>10</xdr:row>
      <xdr:rowOff>104551</xdr:rowOff>
    </xdr:from>
    <xdr:to>
      <xdr:col>3</xdr:col>
      <xdr:colOff>124110</xdr:colOff>
      <xdr:row>13</xdr:row>
      <xdr:rowOff>0</xdr:rowOff>
    </xdr:to>
    <xdr:pic macro="[0]!BOTON_TABLA_VENTAS">
      <xdr:nvPicPr>
        <xdr:cNvPr id="51" name="Gráfico 50" descr="Circle with left arrow con relleno sólido">
          <a:extLst>
            <a:ext uri="{FF2B5EF4-FFF2-40B4-BE49-F238E27FC236}">
              <a16:creationId xmlns:a16="http://schemas.microsoft.com/office/drawing/2014/main" id="{5004930E-E72F-114C-B28B-936E0A6BB87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108889" y="2168301"/>
          <a:ext cx="491721" cy="514574"/>
        </a:xfrm>
        <a:prstGeom prst="rect">
          <a:avLst/>
        </a:prstGeom>
      </xdr:spPr>
    </xdr:pic>
    <xdr:clientData/>
  </xdr:twoCellAnchor>
  <xdr:twoCellAnchor editAs="oneCell">
    <xdr:from>
      <xdr:col>2</xdr:col>
      <xdr:colOff>444105</xdr:colOff>
      <xdr:row>15</xdr:row>
      <xdr:rowOff>95250</xdr:rowOff>
    </xdr:from>
    <xdr:to>
      <xdr:col>3</xdr:col>
      <xdr:colOff>137894</xdr:colOff>
      <xdr:row>18</xdr:row>
      <xdr:rowOff>13053</xdr:rowOff>
    </xdr:to>
    <xdr:pic macro="[0]!BOTON_TABLA_POBLACION">
      <xdr:nvPicPr>
        <xdr:cNvPr id="53" name="Gráfico 52" descr="Users con relleno sólido">
          <a:extLst>
            <a:ext uri="{FF2B5EF4-FFF2-40B4-BE49-F238E27FC236}">
              <a16:creationId xmlns:a16="http://schemas.microsoft.com/office/drawing/2014/main" id="{C6CB8C1D-8EF1-A748-87C7-76DF96A949E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095105" y="3190875"/>
          <a:ext cx="519289" cy="536928"/>
        </a:xfrm>
        <a:prstGeom prst="rect">
          <a:avLst/>
        </a:prstGeom>
      </xdr:spPr>
    </xdr:pic>
    <xdr:clientData/>
  </xdr:twoCellAnchor>
  <xdr:twoCellAnchor editAs="oneCell">
    <xdr:from>
      <xdr:col>2</xdr:col>
      <xdr:colOff>405964</xdr:colOff>
      <xdr:row>20</xdr:row>
      <xdr:rowOff>0</xdr:rowOff>
    </xdr:from>
    <xdr:to>
      <xdr:col>3</xdr:col>
      <xdr:colOff>176034</xdr:colOff>
      <xdr:row>23</xdr:row>
      <xdr:rowOff>4232</xdr:rowOff>
    </xdr:to>
    <xdr:pic macro="[0]!BOTON_AUXILIAR">
      <xdr:nvPicPr>
        <xdr:cNvPr id="55" name="Gráfico 54" descr="Postit Notes con relleno sólido">
          <a:extLst>
            <a:ext uri="{FF2B5EF4-FFF2-40B4-BE49-F238E27FC236}">
              <a16:creationId xmlns:a16="http://schemas.microsoft.com/office/drawing/2014/main" id="{50A8CF92-4AC0-564B-B001-6B61B6F1D67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56964" y="4127500"/>
          <a:ext cx="595570" cy="623357"/>
        </a:xfrm>
        <a:prstGeom prst="rect">
          <a:avLst/>
        </a:prstGeom>
      </xdr:spPr>
    </xdr:pic>
    <xdr:clientData/>
  </xdr:twoCellAnchor>
  <xdr:twoCellAnchor editAs="oneCell">
    <xdr:from>
      <xdr:col>2</xdr:col>
      <xdr:colOff>410062</xdr:colOff>
      <xdr:row>25</xdr:row>
      <xdr:rowOff>31750</xdr:rowOff>
    </xdr:from>
    <xdr:to>
      <xdr:col>3</xdr:col>
      <xdr:colOff>171937</xdr:colOff>
      <xdr:row>28</xdr:row>
      <xdr:rowOff>0</xdr:rowOff>
    </xdr:to>
    <xdr:pic macro="[0]!BOTON_INFORME">
      <xdr:nvPicPr>
        <xdr:cNvPr id="57" name="Gráfico 56" descr="Document con relleno sólido">
          <a:extLst>
            <a:ext uri="{FF2B5EF4-FFF2-40B4-BE49-F238E27FC236}">
              <a16:creationId xmlns:a16="http://schemas.microsoft.com/office/drawing/2014/main" id="{BD642086-65B7-9544-8426-CD66F258475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061062" y="5191125"/>
          <a:ext cx="587375" cy="587375"/>
        </a:xfrm>
        <a:prstGeom prst="rect">
          <a:avLst/>
        </a:prstGeom>
      </xdr:spPr>
    </xdr:pic>
    <xdr:clientData/>
  </xdr:twoCellAnchor>
  <xdr:twoCellAnchor>
    <xdr:from>
      <xdr:col>0</xdr:col>
      <xdr:colOff>267758</xdr:colOff>
      <xdr:row>6</xdr:row>
      <xdr:rowOff>75746</xdr:rowOff>
    </xdr:from>
    <xdr:to>
      <xdr:col>3</xdr:col>
      <xdr:colOff>675922</xdr:colOff>
      <xdr:row>8</xdr:row>
      <xdr:rowOff>75746</xdr:rowOff>
    </xdr:to>
    <xdr:sp macro="" textlink="">
      <xdr:nvSpPr>
        <xdr:cNvPr id="58" name="Rectángulo redondeado 57">
          <a:extLst>
            <a:ext uri="{FF2B5EF4-FFF2-40B4-BE49-F238E27FC236}">
              <a16:creationId xmlns:a16="http://schemas.microsoft.com/office/drawing/2014/main" id="{75ACFA40-FAA1-9E46-8831-3FC1E6744115}"/>
            </a:ext>
          </a:extLst>
        </xdr:cNvPr>
        <xdr:cNvSpPr/>
      </xdr:nvSpPr>
      <xdr:spPr>
        <a:xfrm>
          <a:off x="267758" y="1313996"/>
          <a:ext cx="2884664" cy="412750"/>
        </a:xfrm>
        <a:prstGeom prst="roundRect">
          <a:avLst/>
        </a:prstGeom>
        <a:solidFill>
          <a:srgbClr val="C92C6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rgbClr val="F0EEED"/>
              </a:solidFill>
            </a:rPr>
            <a:t>MENÚ</a:t>
          </a:r>
        </a:p>
      </xdr:txBody>
    </xdr:sp>
    <xdr:clientData/>
  </xdr:twoCellAnchor>
  <xdr:twoCellAnchor>
    <xdr:from>
      <xdr:col>0</xdr:col>
      <xdr:colOff>300525</xdr:colOff>
      <xdr:row>30</xdr:row>
      <xdr:rowOff>0</xdr:rowOff>
    </xdr:from>
    <xdr:to>
      <xdr:col>3</xdr:col>
      <xdr:colOff>708689</xdr:colOff>
      <xdr:row>32</xdr:row>
      <xdr:rowOff>0</xdr:rowOff>
    </xdr:to>
    <xdr:sp macro="" textlink="">
      <xdr:nvSpPr>
        <xdr:cNvPr id="59" name="Rectángulo redondeado 58">
          <a:extLst>
            <a:ext uri="{FF2B5EF4-FFF2-40B4-BE49-F238E27FC236}">
              <a16:creationId xmlns:a16="http://schemas.microsoft.com/office/drawing/2014/main" id="{E688E2DA-AE2E-E74D-A731-18BEA917544A}"/>
            </a:ext>
          </a:extLst>
        </xdr:cNvPr>
        <xdr:cNvSpPr/>
      </xdr:nvSpPr>
      <xdr:spPr>
        <a:xfrm>
          <a:off x="300525" y="6191250"/>
          <a:ext cx="2884664" cy="412750"/>
        </a:xfrm>
        <a:prstGeom prst="roundRect">
          <a:avLst/>
        </a:prstGeom>
        <a:solidFill>
          <a:srgbClr val="C92C6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rgbClr val="F0EEED"/>
              </a:solidFill>
            </a:rPr>
            <a:t>FILTROS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81.590462384258" createdVersion="7" refreshedVersion="7" minRefreshableVersion="3" recordCount="1000" xr:uid="{8665B8B4-B513-7D43-8285-DD8641981FCC}">
  <cacheSource type="worksheet">
    <worksheetSource name="Tabla_Ventas"/>
  </cacheSource>
  <cacheFields count="12">
    <cacheField name=" FACTURA ID / INVOICE ID" numFmtId="1">
      <sharedItems containsSemiMixedTypes="0" containsString="0" containsNumber="1" containsInteger="1" minValue="101176199" maxValue="898042717"/>
    </cacheField>
    <cacheField name="SUCURSAL" numFmtId="49">
      <sharedItems count="3">
        <s v="Valencia"/>
        <s v="Madrid"/>
        <s v="Barcelona"/>
      </sharedItems>
    </cacheField>
    <cacheField name="TIPO DE CLIENTE/ Customer type" numFmtId="49">
      <sharedItems count="2">
        <s v="Member"/>
        <s v="Normal"/>
      </sharedItems>
    </cacheField>
    <cacheField name="LINEA DE PRODUCTO/ Product line" numFmtId="49">
      <sharedItems count="6">
        <s v="Sports and travel"/>
        <s v="Health and beauty"/>
        <s v="Electronic accessories"/>
        <s v="Fashion accessories"/>
        <s v="Food and beverages"/>
        <s v="Home and lifestyle"/>
      </sharedItems>
    </cacheField>
    <cacheField name="PRECIO UNITARIO/ Unit price (USD)" numFmtId="172">
      <sharedItems containsSemiMixedTypes="0" containsString="0" containsNumber="1" minValue="10.08" maxValue="99.96"/>
    </cacheField>
    <cacheField name="CANTIDAD/ Quantity" numFmtId="1">
      <sharedItems containsSemiMixedTypes="0" containsString="0" containsNumber="1" containsInteger="1" minValue="1" maxValue="10"/>
    </cacheField>
    <cacheField name="VENTA TOTAL" numFmtId="173">
      <sharedItems containsSemiMixedTypes="0" containsString="0" containsNumber="1" minValue="10.17" maxValue="993"/>
    </cacheField>
    <cacheField name="FECHA/ Date" numFmtId="166">
      <sharedItems containsSemiMixedTypes="0" containsNonDate="0" containsDate="1" containsString="0" minDate="2019-01-01T00:00:00" maxDate="2019-12-03T00:00:00" count="95">
        <d v="2019-02-15T00:00:00"/>
        <d v="2019-02-03T00:00:00"/>
        <d v="2019-03-27T00:00:00"/>
        <d v="2019-02-20T00:00:00"/>
        <d v="2019-02-25T00:00:00"/>
        <d v="2019-02-17T00:00:00"/>
        <d v="2019-01-07T00:00:00"/>
        <d v="2019-03-25T00:00:00"/>
        <d v="2019-03-28T00:00:00"/>
        <d v="2019-02-07T00:00:00"/>
        <d v="2019-01-28T00:00:00"/>
        <d v="2019-02-10T00:00:00"/>
        <d v="2019-03-19T00:00:00"/>
        <d v="2019-02-02T00:00:00"/>
        <d v="2019-01-14T00:00:00"/>
        <d v="2019-01-06T00:00:00"/>
        <d v="2019-01-22T00:00:00"/>
        <d v="2019-02-12T00:00:00"/>
        <d v="2019-01-20T00:00:00"/>
        <d v="2019-01-18T00:00:00"/>
        <d v="2019-02-18T00:00:00"/>
        <d v="2019-01-19T00:00:00"/>
        <d v="2019-02-04T00:00:00"/>
        <d v="2019-01-23T00:00:00"/>
        <d v="2019-03-29T00:00:00"/>
        <d v="2019-03-09T00:00:00"/>
        <d v="2019-03-20T00:00:00"/>
        <d v="2019-01-05T00:00:00"/>
        <d v="2019-03-15T00:00:00"/>
        <d v="2019-01-03T00:00:00"/>
        <d v="2019-03-18T00:00:00"/>
        <d v="2019-02-05T00:00:00"/>
        <d v="2019-03-07T00:00:00"/>
        <d v="2019-04-01T00:00:00"/>
        <d v="2019-11-01T00:00:00"/>
        <d v="2019-01-31T00:00:00"/>
        <d v="2019-05-02T00:00:00"/>
        <d v="2019-01-26T00:00:00"/>
        <d v="2019-01-15T00:00:00"/>
        <d v="2019-01-25T00:00:00"/>
        <d v="2019-01-17T00:00:00"/>
        <d v="2019-01-27T00:00:00"/>
        <d v="2019-03-08T00:00:00"/>
        <d v="2019-03-03T00:00:00"/>
        <d v="2019-03-30T00:00:00"/>
        <d v="2019-05-01T00:00:00"/>
        <d v="2019-02-22T00:00:00"/>
        <d v="2019-03-26T00:00:00"/>
        <d v="2019-03-24T00:00:00"/>
        <d v="2019-03-13T00:00:00"/>
        <d v="2019-01-02T00:00:00"/>
        <d v="2019-08-01T00:00:00"/>
        <d v="2019-02-08T00:00:00"/>
        <d v="2019-03-23T00:00:00"/>
        <d v="2019-06-02T00:00:00"/>
        <d v="2019-02-16T00:00:00"/>
        <d v="2019-01-11T00:00:00"/>
        <d v="2019-02-11T00:00:00"/>
        <d v="2019-03-05T00:00:00"/>
        <d v="2019-02-13T00:00:00"/>
        <d v="2019-01-30T00:00:00"/>
        <d v="2019-02-27T00:00:00"/>
        <d v="2019-03-14T00:00:00"/>
        <d v="2019-02-21T00:00:00"/>
        <d v="2019-01-13T00:00:00"/>
        <d v="2019-03-16T00:00:00"/>
        <d v="2019-02-23T00:00:00"/>
        <d v="2019-02-14T00:00:00"/>
        <d v="2019-02-19T00:00:00"/>
        <d v="2019-02-28T00:00:00"/>
        <d v="2019-01-29T00:00:00"/>
        <d v="2019-01-16T00:00:00"/>
        <d v="2019-01-08T00:00:00"/>
        <d v="2019-01-10T00:00:00"/>
        <d v="2019-01-01T00:00:00"/>
        <d v="2019-01-21T00:00:00"/>
        <d v="2019-01-12T00:00:00"/>
        <d v="2019-01-24T00:00:00"/>
        <d v="2019-02-06T00:00:00"/>
        <d v="2019-02-24T00:00:00"/>
        <d v="2019-03-04T00:00:00"/>
        <d v="2019-02-09T00:00:00"/>
        <d v="2019-03-10T00:00:00"/>
        <d v="2019-08-02T00:00:00"/>
        <d v="2019-12-02T00:00:00"/>
        <d v="2019-03-06T00:00:00"/>
        <d v="2019-09-01T00:00:00"/>
        <d v="2019-04-03T00:00:00"/>
        <d v="2019-03-17T00:00:00"/>
        <d v="2019-11-02T00:00:00"/>
        <d v="2019-02-26T00:00:00"/>
        <d v="2019-01-09T00:00:00"/>
        <d v="2019-02-01T00:00:00"/>
        <d v="2019-09-02T00:00:00"/>
        <d v="2019-10-01T00:00:00"/>
      </sharedItems>
      <fieldGroup base="7">
        <rangePr groupBy="months" startDate="2019-01-01T00:00:00" endDate="2019-12-03T00:00:00"/>
        <groupItems count="14">
          <s v="&lt;1/1/19"/>
          <s v="ene"/>
          <s v="feb"/>
          <s v="mar"/>
          <s v="abr"/>
          <s v="may"/>
          <s v="jun"/>
          <s v="jul"/>
          <s v="ago"/>
          <s v="sep"/>
          <s v="oct"/>
          <s v="nov"/>
          <s v="dic"/>
          <s v="&gt;3/12/19"/>
        </groupItems>
      </fieldGroup>
    </cacheField>
    <cacheField name="Time" numFmtId="167">
      <sharedItems containsSemiMixedTypes="0" containsNonDate="0" containsDate="1" containsString="0" minDate="1899-12-30T10:00:00" maxDate="1899-12-30T20:59:00" count="506">
        <d v="1899-12-30T17:47:00"/>
        <d v="1899-12-30T13:40:00"/>
        <d v="1899-12-30T19:18:00"/>
        <d v="1899-12-30T16:49:00"/>
        <d v="1899-12-30T11:58:00"/>
        <d v="1899-12-30T11:15:00"/>
        <d v="1899-12-30T15:01:00"/>
        <d v="1899-12-30T10:23:00"/>
        <d v="1899-12-30T16:44:00"/>
        <d v="1899-12-30T18:23:00"/>
        <d v="1899-12-30T16:47:00"/>
        <d v="1899-12-30T12:50:00"/>
        <d v="1899-12-30T11:30:00"/>
        <d v="1899-12-30T19:40:00"/>
        <d v="1899-12-30T12:09:00"/>
        <d v="1899-12-30T13:58:00"/>
        <d v="1899-12-30T11:52:00"/>
        <d v="1899-12-30T14:45:00"/>
        <d v="1899-12-30T17:48:00"/>
        <d v="1899-12-30T17:26:00"/>
        <d v="1899-12-30T15:18:00"/>
        <d v="1899-12-30T15:39:00"/>
        <d v="1899-12-30T17:34:00"/>
        <d v="1899-12-30T10:02:00"/>
        <d v="1899-12-30T18:03:00"/>
        <d v="1899-12-30T13:38:00"/>
        <d v="1899-12-30T13:29:00"/>
        <d v="1899-12-30T13:21:00"/>
        <d v="1899-12-30T20:54:00"/>
        <d v="1899-12-30T16:48:00"/>
        <d v="1899-12-30T13:53:00"/>
        <d v="1899-12-30T14:13:00"/>
        <d v="1899-12-30T19:44:00"/>
        <d v="1899-12-30T11:32:00"/>
        <d v="1899-12-30T20:30:00"/>
        <d v="1899-12-30T10:50:00"/>
        <d v="1899-12-30T20:24:00"/>
        <d v="1899-12-30T15:29:00"/>
        <d v="1899-12-30T18:45:00"/>
        <d v="1899-12-30T12:46:00"/>
        <d v="1899-12-30T18:19:00"/>
        <d v="1899-12-30T14:29:00"/>
        <d v="1899-12-30T16:24:00"/>
        <d v="1899-12-30T10:46:00"/>
        <d v="1899-12-30T19:17:00"/>
        <d v="1899-12-30T19:05:00"/>
        <d v="1899-12-30T14:51:00"/>
        <d v="1899-12-30T10:43:00"/>
        <d v="1899-12-30T11:40:00"/>
        <d v="1899-12-30T18:14:00"/>
        <d v="1899-12-30T12:34:00"/>
        <d v="1899-12-30T15:15:00"/>
        <d v="1899-12-30T18:08:00"/>
        <d v="1899-12-30T10:29:00"/>
        <d v="1899-12-30T19:48:00"/>
        <d v="1899-12-30T17:01:00"/>
        <d v="1899-12-30T19:57:00"/>
        <d v="1899-12-30T13:22:00"/>
        <d v="1899-12-30T19:50:00"/>
        <d v="1899-12-30T14:36:00"/>
        <d v="1899-12-30T16:51:00"/>
        <d v="1899-12-30T11:02:00"/>
        <d v="1899-12-30T15:47:00"/>
        <d v="1899-12-30T14:22:00"/>
        <d v="1899-12-30T12:23:00"/>
        <d v="1899-12-30T13:07:00"/>
        <d v="1899-12-30T20:29:00"/>
        <d v="1899-12-30T15:45:00"/>
        <d v="1899-12-30T18:00:00"/>
        <d v="1899-12-30T10:19:00"/>
        <d v="1899-12-30T20:31:00"/>
        <d v="1899-12-30T17:11:00"/>
        <d v="1899-12-30T20:55:00"/>
        <d v="1899-12-30T12:02:00"/>
        <d v="1899-12-30T12:58:00"/>
        <d v="1899-12-30T14:55:00"/>
        <d v="1899-12-30T14:11:00"/>
        <d v="1899-12-30T17:58:00"/>
        <d v="1899-12-30T16:36:00"/>
        <d v="1899-12-30T19:38:00"/>
        <d v="1899-12-30T13:30:00"/>
        <d v="1899-12-30T13:56:00"/>
        <d v="1899-12-30T11:39:00"/>
        <d v="1899-12-30T18:37:00"/>
        <d v="1899-12-30T12:51:00"/>
        <d v="1899-12-30T13:14:00"/>
        <d v="1899-12-30T14:05:00"/>
        <d v="1899-12-30T18:02:00"/>
        <d v="1899-12-30T10:55:00"/>
        <d v="1899-12-30T12:45:00"/>
        <d v="1899-12-30T18:06:00"/>
        <d v="1899-12-30T12:48:00"/>
        <d v="1899-12-30T17:20:00"/>
        <d v="1899-12-30T20:18:00"/>
        <d v="1899-12-30T16:40:00"/>
        <d v="1899-12-30T17:38:00"/>
        <d v="1899-12-30T18:04:00"/>
        <d v="1899-12-30T13:57:00"/>
        <d v="1899-12-30T18:38:00"/>
        <d v="1899-12-30T20:57:00"/>
        <d v="1899-12-30T20:36:00"/>
        <d v="1899-12-30T10:16:00"/>
        <d v="1899-12-30T13:05:00"/>
        <d v="1899-12-30T20:01:00"/>
        <d v="1899-12-30T18:05:00"/>
        <d v="1899-12-30T19:41:00"/>
        <d v="1899-12-30T11:46:00"/>
        <d v="1899-12-30T17:10:00"/>
        <d v="1899-12-30T10:54:00"/>
        <d v="1899-12-30T10:18:00"/>
        <d v="1899-12-30T12:52:00"/>
        <d v="1899-12-30T13:35:00"/>
        <d v="1899-12-30T15:36:00"/>
        <d v="1899-12-30T12:40:00"/>
        <d v="1899-12-30T12:55:00"/>
        <d v="1899-12-30T14:30:00"/>
        <d v="1899-12-30T19:25:00"/>
        <d v="1899-12-30T12:28:00"/>
        <d v="1899-12-30T19:08:00"/>
        <d v="1899-12-30T19:36:00"/>
        <d v="1899-12-30T10:57:00"/>
        <d v="1899-12-30T20:40:00"/>
        <d v="1899-12-30T14:03:00"/>
        <d v="1899-12-30T18:53:00"/>
        <d v="1899-12-30T15:30:00"/>
        <d v="1899-12-30T11:18:00"/>
        <d v="1899-12-30T20:21:00"/>
        <d v="1899-12-30T14:42:00"/>
        <d v="1899-12-30T11:05:00"/>
        <d v="1899-12-30T10:12:00"/>
        <d v="1899-12-30T13:08:00"/>
        <d v="1899-12-30T14:21:00"/>
        <d v="1899-12-30T17:27:00"/>
        <d v="1899-12-30T10:17:00"/>
        <d v="1899-12-30T15:12:00"/>
        <d v="1899-12-30T12:12:00"/>
        <d v="1899-12-30T15:31:00"/>
        <d v="1899-12-30T11:00:00"/>
        <d v="1899-12-30T16:04:00"/>
        <d v="1899-12-30T20:37:00"/>
        <d v="1899-12-30T13:26:00"/>
        <d v="1899-12-30T15:55:00"/>
        <d v="1899-12-30T14:12:00"/>
        <d v="1899-12-30T19:09:00"/>
        <d v="1899-12-30T20:03:00"/>
        <d v="1899-12-30T13:02:00"/>
        <d v="1899-12-30T16:08:00"/>
        <d v="1899-12-30T14:26:00"/>
        <d v="1899-12-30T20:44:00"/>
        <d v="1899-12-30T16:09:00"/>
        <d v="1899-12-30T17:12:00"/>
        <d v="1899-12-30T11:10:00"/>
        <d v="1899-12-30T11:36:00"/>
        <d v="1899-12-30T11:23:00"/>
        <d v="1899-12-30T15:26:00"/>
        <d v="1899-12-30T19:06:00"/>
        <d v="1899-12-30T12:25:00"/>
        <d v="1899-12-30T18:01:00"/>
        <d v="1899-12-30T11:26:00"/>
        <d v="1899-12-30T17:36:00"/>
        <d v="1899-12-30T16:23:00"/>
        <d v="1899-12-30T10:49:00"/>
        <d v="1899-12-30T10:37:00"/>
        <d v="1899-12-30T14:06:00"/>
        <d v="1899-12-30T17:49:00"/>
        <d v="1899-12-30T10:38:00"/>
        <d v="1899-12-30T18:15:00"/>
        <d v="1899-12-30T15:16:00"/>
        <d v="1899-12-30T14:40:00"/>
        <d v="1899-12-30T20:59:00"/>
        <d v="1899-12-30T16:21:00"/>
        <d v="1899-12-30T16:11:00"/>
        <d v="1899-12-30T11:44:00"/>
        <d v="1899-12-30T12:44:00"/>
        <d v="1899-12-30T15:20:00"/>
        <d v="1899-12-30T14:33:00"/>
        <d v="1899-12-30T18:58:00"/>
        <d v="1899-12-30T20:46:00"/>
        <d v="1899-12-30T18:21:00"/>
        <d v="1899-12-30T16:20:00"/>
        <d v="1899-12-30T12:04:00"/>
        <d v="1899-12-30T13:52:00"/>
        <d v="1899-12-30T12:43:00"/>
        <d v="1899-12-30T18:17:00"/>
        <d v="1899-12-30T13:48:00"/>
        <d v="1899-12-30T13:00:00"/>
        <d v="1899-12-30T12:37:00"/>
        <d v="1899-12-30T18:43:00"/>
        <d v="1899-12-30T10:05:00"/>
        <d v="1899-12-30T12:27:00"/>
        <d v="1899-12-30T14:20:00"/>
        <d v="1899-12-30T17:07:00"/>
        <d v="1899-12-30T12:29:00"/>
        <d v="1899-12-30T16:30:00"/>
        <d v="1899-12-30T11:48:00"/>
        <d v="1899-12-30T16:33:00"/>
        <d v="1899-12-30T10:31:00"/>
        <d v="1899-12-30T17:08:00"/>
        <d v="1899-12-30T16:35:00"/>
        <d v="1899-12-30T11:43:00"/>
        <d v="1899-12-30T19:20:00"/>
        <d v="1899-12-30T15:10:00"/>
        <d v="1899-12-30T15:57:00"/>
        <d v="1899-12-30T18:27:00"/>
        <d v="1899-12-30T15:02:00"/>
        <d v="1899-12-30T19:02:00"/>
        <d v="1899-12-30T15:51:00"/>
        <d v="1899-12-30T15:52:00"/>
        <d v="1899-12-30T17:55:00"/>
        <d v="1899-12-30T15:27:00"/>
        <d v="1899-12-30T10:36:00"/>
        <d v="1899-12-30T12:41:00"/>
        <d v="1899-12-30T18:41:00"/>
        <d v="1899-12-30T10:39:00"/>
        <d v="1899-12-30T19:30:00"/>
        <d v="1899-12-30T20:33:00"/>
        <d v="1899-12-30T17:24:00"/>
        <d v="1899-12-30T16:28:00"/>
        <d v="1899-12-30T15:08:00"/>
        <d v="1899-12-30T15:44:00"/>
        <d v="1899-12-30T11:21:00"/>
        <d v="1899-12-30T13:44:00"/>
        <d v="1899-12-30T19:54:00"/>
        <d v="1899-12-30T15:05:00"/>
        <d v="1899-12-30T15:07:00"/>
        <d v="1899-12-30T17:44:00"/>
        <d v="1899-12-30T15:46:00"/>
        <d v="1899-12-30T20:34:00"/>
        <d v="1899-12-30T19:39:00"/>
        <d v="1899-12-30T18:42:00"/>
        <d v="1899-12-30T17:13:00"/>
        <d v="1899-12-30T18:59:00"/>
        <d v="1899-12-30T19:35:00"/>
        <d v="1899-12-30T19:24:00"/>
        <d v="1899-12-30T19:01:00"/>
        <d v="1899-12-30T12:21:00"/>
        <d v="1899-12-30T19:58:00"/>
        <d v="1899-12-30T12:38:00"/>
        <d v="1899-12-30T19:49:00"/>
        <d v="1899-12-30T16:54:00"/>
        <d v="1899-12-30T18:35:00"/>
        <d v="1899-12-30T17:59:00"/>
        <d v="1899-12-30T12:31:00"/>
        <d v="1899-12-30T19:55:00"/>
        <d v="1899-12-30T12:15:00"/>
        <d v="1899-12-30T14:27:00"/>
        <d v="1899-12-30T12:47:00"/>
        <d v="1899-12-30T15:59:00"/>
        <d v="1899-12-30T15:06:00"/>
        <d v="1899-12-30T17:35:00"/>
        <d v="1899-12-30T11:38:00"/>
        <d v="1899-12-30T16:37:00"/>
        <d v="1899-12-30T19:46:00"/>
        <d v="1899-12-30T15:28:00"/>
        <d v="1899-12-30T11:59:00"/>
        <d v="1899-12-30T16:18:00"/>
        <d v="1899-12-30T19:28:00"/>
        <d v="1899-12-30T15:19:00"/>
        <d v="1899-12-30T11:27:00"/>
        <d v="1899-12-30T11:12:00"/>
        <d v="1899-12-30T16:52:00"/>
        <d v="1899-12-30T10:11:00"/>
        <d v="1899-12-30T12:07:00"/>
        <d v="1899-12-30T13:45:00"/>
        <d v="1899-12-30T18:51:00"/>
        <d v="1899-12-30T16:45:00"/>
        <d v="1899-12-30T15:21:00"/>
        <d v="1899-12-30T17:56:00"/>
        <d v="1899-12-30T18:44:00"/>
        <d v="1899-12-30T10:41:00"/>
        <d v="1899-12-30T17:43:00"/>
        <d v="1899-12-30T12:20:00"/>
        <d v="1899-12-30T19:07:00"/>
        <d v="1899-12-30T13:54:00"/>
        <d v="1899-12-30T18:22:00"/>
        <d v="1899-12-30T16:06:00"/>
        <d v="1899-12-30T12:17:00"/>
        <d v="1899-12-30T13:01:00"/>
        <d v="1899-12-30T11:51:00"/>
        <d v="1899-12-30T10:21:00"/>
        <d v="1899-12-30T15:37:00"/>
        <d v="1899-12-30T13:12:00"/>
        <d v="1899-12-30T10:48:00"/>
        <d v="1899-12-30T10:34:00"/>
        <d v="1899-12-30T13:55:00"/>
        <d v="1899-12-30T16:38:00"/>
        <d v="1899-12-30T13:06:00"/>
        <d v="1899-12-30T13:24:00"/>
        <d v="1899-12-30T20:39:00"/>
        <d v="1899-12-30T14:35:00"/>
        <d v="1899-12-30T16:10:00"/>
        <d v="1899-12-30T18:50:00"/>
        <d v="1899-12-30T17:16:00"/>
        <d v="1899-12-30T20:48:00"/>
        <d v="1899-12-30T11:07:00"/>
        <d v="1899-12-30T13:37:00"/>
        <d v="1899-12-30T10:00:00"/>
        <d v="1899-12-30T20:51:00"/>
        <d v="1899-12-30T10:42:00"/>
        <d v="1899-12-30T13:18:00"/>
        <d v="1899-12-30T19:00:00"/>
        <d v="1899-12-30T13:42:00"/>
        <d v="1899-12-30T15:49:00"/>
        <d v="1899-12-30T14:19:00"/>
        <d v="1899-12-30T14:00:00"/>
        <d v="1899-12-30T13:23:00"/>
        <d v="1899-12-30T20:19:00"/>
        <d v="1899-12-30T18:36:00"/>
        <d v="1899-12-30T11:56:00"/>
        <d v="1899-12-30T14:58:00"/>
        <d v="1899-12-30T20:10:00"/>
        <d v="1899-12-30T18:30:00"/>
        <d v="1899-12-30T15:23:00"/>
        <d v="1899-12-30T20:35:00"/>
        <d v="1899-12-30T14:50:00"/>
        <d v="1899-12-30T14:57:00"/>
        <d v="1899-12-30T16:07:00"/>
        <d v="1899-12-30T10:25:00"/>
        <d v="1899-12-30T12:14:00"/>
        <d v="1899-12-30T10:53:00"/>
        <d v="1899-12-30T10:28:00"/>
        <d v="1899-12-30T12:32:00"/>
        <d v="1899-12-30T19:29:00"/>
        <d v="1899-12-30T15:11:00"/>
        <d v="1899-12-30T17:15:00"/>
        <d v="1899-12-30T19:47:00"/>
        <d v="1899-12-30T20:38:00"/>
        <d v="1899-12-30T18:20:00"/>
        <d v="1899-12-30T11:45:00"/>
        <d v="1899-12-30T15:14:00"/>
        <d v="1899-12-30T13:34:00"/>
        <d v="1899-12-30T10:26:00"/>
        <d v="1899-12-30T19:26:00"/>
        <d v="1899-12-30T11:22:00"/>
        <d v="1899-12-30T16:03:00"/>
        <d v="1899-12-30T10:30:00"/>
        <d v="1899-12-30T13:46:00"/>
        <d v="1899-12-30T20:42:00"/>
        <d v="1899-12-30T10:33:00"/>
        <d v="1899-12-30T13:33:00"/>
        <d v="1899-12-30T19:15:00"/>
        <d v="1899-12-30T17:37:00"/>
        <d v="1899-12-30T20:15:00"/>
        <d v="1899-12-30T14:28:00"/>
        <d v="1899-12-30T15:58:00"/>
        <d v="1899-12-30T12:30:00"/>
        <d v="1899-12-30T11:42:00"/>
        <d v="1899-12-30T10:58:00"/>
        <d v="1899-12-30T11:55:00"/>
        <d v="1899-12-30T17:22:00"/>
        <d v="1899-12-30T14:49:00"/>
        <d v="1899-12-30T16:59:00"/>
        <d v="1899-12-30T19:51:00"/>
        <d v="1899-12-30T20:26:00"/>
        <d v="1899-12-30T17:03:00"/>
        <d v="1899-12-30T10:01:00"/>
        <d v="1899-12-30T14:04:00"/>
        <d v="1899-12-30T18:48:00"/>
        <d v="1899-12-30T15:42:00"/>
        <d v="1899-12-30T15:33:00"/>
        <d v="1899-12-30T10:09:00"/>
        <d v="1899-12-30T17:54:00"/>
        <d v="1899-12-30T15:43:00"/>
        <d v="1899-12-30T11:19:00"/>
        <d v="1899-12-30T18:31:00"/>
        <d v="1899-12-30T18:09:00"/>
        <d v="1899-12-30T19:42:00"/>
        <d v="1899-12-30T14:08:00"/>
        <d v="1899-12-30T16:32:00"/>
        <d v="1899-12-30T13:51:00"/>
        <d v="1899-12-30T11:28:00"/>
        <d v="1899-12-30T20:05:00"/>
        <d v="1899-12-30T11:57:00"/>
        <d v="1899-12-30T14:53:00"/>
        <d v="1899-12-30T18:55:00"/>
        <d v="1899-12-30T17:04:00"/>
        <d v="1899-12-30T15:25:00"/>
        <d v="1899-12-30T12:22:00"/>
        <d v="1899-12-30T19:45:00"/>
        <d v="1899-12-30T18:33:00"/>
        <d v="1899-12-30T14:24:00"/>
        <d v="1899-12-30T15:48:00"/>
        <d v="1899-12-30T13:28:00"/>
        <d v="1899-12-30T11:49:00"/>
        <d v="1899-12-30T16:31:00"/>
        <d v="1899-12-30T15:53:00"/>
        <d v="1899-12-30T18:24:00"/>
        <d v="1899-12-30T11:09:00"/>
        <d v="1899-12-30T15:40:00"/>
        <d v="1899-12-30T14:38:00"/>
        <d v="1899-12-30T19:43:00"/>
        <d v="1899-12-30T14:48:00"/>
        <d v="1899-12-30T13:49:00"/>
        <d v="1899-12-30T20:43:00"/>
        <d v="1899-12-30T10:04:00"/>
        <d v="1899-12-30T19:56:00"/>
        <d v="1899-12-30T15:34:00"/>
        <d v="1899-12-30T14:44:00"/>
        <d v="1899-12-30T19:53:00"/>
        <d v="1899-12-30T19:14:00"/>
        <d v="1899-12-30T19:16:00"/>
        <d v="1899-12-30T20:00:00"/>
        <d v="1899-12-30T14:41:00"/>
        <d v="1899-12-30T18:13:00"/>
        <d v="1899-12-30T17:53:00"/>
        <d v="1899-12-30T12:16:00"/>
        <d v="1899-12-30T13:59:00"/>
        <d v="1899-12-30T10:22:00"/>
        <d v="1899-12-30T19:31:00"/>
        <d v="1899-12-30T12:36:00"/>
        <d v="1899-12-30T15:56:00"/>
        <d v="1899-12-30T13:25:00"/>
        <d v="1899-12-30T20:52:00"/>
        <d v="1899-12-30T15:04:00"/>
        <d v="1899-12-30T20:04:00"/>
        <d v="1899-12-30T11:17:00"/>
        <d v="1899-12-30T14:43:00"/>
        <d v="1899-12-30T10:13:00"/>
        <d v="1899-12-30T17:29:00"/>
        <d v="1899-12-30T17:52:00"/>
        <d v="1899-12-30T18:56:00"/>
        <d v="1899-12-30T16:19:00"/>
        <d v="1899-12-30T12:08:00"/>
        <d v="1899-12-30T12:39:00"/>
        <d v="1899-12-30T16:46:00"/>
        <d v="1899-12-30T14:25:00"/>
        <d v="1899-12-30T12:42:00"/>
        <d v="1899-12-30T18:10:00"/>
        <d v="1899-12-30T13:27:00"/>
        <d v="1899-12-30T16:17:00"/>
        <d v="1899-12-30T15:24:00"/>
        <d v="1899-12-30T20:50:00"/>
        <d v="1899-12-30T14:15:00"/>
        <d v="1899-12-30T12:01:00"/>
        <d v="1899-12-30T14:16:00"/>
        <d v="1899-12-30T13:19:00"/>
        <d v="1899-12-30T18:18:00"/>
        <d v="1899-12-30T19:21:00"/>
        <d v="1899-12-30T16:57:00"/>
        <d v="1899-12-30T15:00:00"/>
        <d v="1899-12-30T20:23:00"/>
        <d v="1899-12-30T14:47:00"/>
        <d v="1899-12-30T19:22:00"/>
        <d v="1899-12-30T16:53:00"/>
        <d v="1899-12-30T16:50:00"/>
        <d v="1899-12-30T13:03:00"/>
        <d v="1899-12-30T16:58:00"/>
        <d v="1899-12-30T19:33:00"/>
        <d v="1899-12-30T20:32:00"/>
        <d v="1899-12-30T16:55:00"/>
        <d v="1899-12-30T15:09:00"/>
        <d v="1899-12-30T14:14:00"/>
        <d v="1899-12-30T16:43:00"/>
        <d v="1899-12-30T16:34:00"/>
        <d v="1899-12-30T11:33:00"/>
        <d v="1899-12-30T15:17:00"/>
        <d v="1899-12-30T12:10:00"/>
        <d v="1899-12-30T11:01:00"/>
        <d v="1899-12-30T10:52:00"/>
        <d v="1899-12-30T20:07:00"/>
        <d v="1899-12-30T19:11:00"/>
        <d v="1899-12-30T13:50:00"/>
        <d v="1899-12-30T12:56:00"/>
        <d v="1899-12-30T10:40:00"/>
        <d v="1899-12-30T16:42:00"/>
        <d v="1899-12-30T13:41:00"/>
        <d v="1899-12-30T20:08:00"/>
        <d v="1899-12-30T18:57:00"/>
        <d v="1899-12-30T16:16:00"/>
        <d v="1899-12-30T12:35:00"/>
        <d v="1899-12-30T10:03:00"/>
        <d v="1899-12-30T11:20:00"/>
        <d v="1899-12-30T11:34:00"/>
        <d v="1899-12-30T17:30:00"/>
        <d v="1899-12-30T17:46:00"/>
        <d v="1899-12-30T11:24:00"/>
        <d v="1899-12-30T13:32:00"/>
        <d v="1899-12-30T11:06:00"/>
        <d v="1899-12-30T20:13:00"/>
        <d v="1899-12-30T17:17:00"/>
        <d v="1899-12-30T13:47:00"/>
        <d v="1899-12-30T11:29:00"/>
        <d v="1899-12-30T11:03:00"/>
        <d v="1899-12-30T19:52:00"/>
        <d v="1899-12-30T18:07:00"/>
        <d v="1899-12-30T15:54:00"/>
        <d v="1899-12-30T10:06:00"/>
        <d v="1899-12-30T16:05:00"/>
        <d v="1899-12-30T10:08:00"/>
        <d v="1899-12-30T11:25:00"/>
        <d v="1899-12-30T20:14:00"/>
        <d v="1899-12-30T20:47:00"/>
        <d v="1899-12-30T16:26:00"/>
        <d v="1899-12-30T19:12:00"/>
        <d v="1899-12-30T15:32:00"/>
        <d v="1899-12-30T17:45:00"/>
        <d v="1899-12-30T12:24:00"/>
        <d v="1899-12-30T13:11:00"/>
        <d v="1899-12-30T10:44:00"/>
        <d v="1899-12-30T16:27:00"/>
        <d v="1899-12-30T17:09:00"/>
        <d v="1899-12-30T11:16:00"/>
        <d v="1899-12-30T10:10:00"/>
        <d v="1899-12-30T14:31:00"/>
        <d v="1899-12-30T13:10:00"/>
        <d v="1899-12-30T20:06:00"/>
      </sharedItems>
      <fieldGroup base="8">
        <rangePr groupBy="hours" startDate="1899-12-30T10:00:00" endDate="1899-12-30T20:59:00"/>
        <groupItems count="26">
          <s v="&lt;0/1/00"/>
          <s v="00"/>
          <s v="01"/>
          <s v="02"/>
          <s v="03"/>
          <s v="04"/>
          <s v="05"/>
          <s v="06"/>
          <s v="07"/>
          <s v="08"/>
          <s v="09"/>
          <s v="10"/>
          <s v="11"/>
          <s v="12"/>
          <s v="13"/>
          <s v="14"/>
          <s v="15"/>
          <s v="16"/>
          <s v="17"/>
          <s v="18"/>
          <s v="19"/>
          <s v="20"/>
          <s v="21"/>
          <s v="22"/>
          <s v="23"/>
          <s v="&gt;0/1/00"/>
        </groupItems>
      </fieldGroup>
    </cacheField>
    <cacheField name="PAGO/ Payment" numFmtId="49">
      <sharedItems count="3">
        <s v="Credit card"/>
        <s v="Ewallet"/>
        <s v="Cash"/>
      </sharedItems>
    </cacheField>
    <cacheField name="Rating" numFmtId="1">
      <sharedItems containsSemiMixedTypes="0" containsString="0" containsNumber="1" minValue="4" maxValue="10"/>
    </cacheField>
    <cacheField name="Sorteo " numFmtId="1">
      <sharedItems/>
    </cacheField>
  </cacheFields>
  <extLst>
    <ext xmlns:x14="http://schemas.microsoft.com/office/spreadsheetml/2009/9/main" uri="{725AE2AE-9491-48be-B2B4-4EB974FC3084}">
      <x14:pivotCacheDefinition pivotCacheId="2850176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5685083"/>
    <x v="0"/>
    <x v="0"/>
    <x v="0"/>
    <n v="24.74"/>
    <n v="3"/>
    <n v="74.22"/>
    <x v="0"/>
    <x v="0"/>
    <x v="0"/>
    <n v="10"/>
    <s v="PARTICIPA"/>
  </r>
  <r>
    <n v="347342234"/>
    <x v="1"/>
    <x v="0"/>
    <x v="0"/>
    <n v="55.07"/>
    <n v="9"/>
    <n v="495.63"/>
    <x v="1"/>
    <x v="1"/>
    <x v="1"/>
    <n v="10"/>
    <s v="PARTICIPA"/>
  </r>
  <r>
    <n v="423572993"/>
    <x v="1"/>
    <x v="1"/>
    <x v="0"/>
    <n v="93.39"/>
    <n v="6"/>
    <n v="560.34"/>
    <x v="2"/>
    <x v="2"/>
    <x v="1"/>
    <n v="10"/>
    <s v="NO PARTICIPA"/>
  </r>
  <r>
    <n v="725560833"/>
    <x v="2"/>
    <x v="1"/>
    <x v="1"/>
    <n v="32.32"/>
    <n v="10"/>
    <n v="323.2"/>
    <x v="3"/>
    <x v="3"/>
    <x v="0"/>
    <n v="10"/>
    <s v="NO PARTICIPA"/>
  </r>
  <r>
    <n v="866702814"/>
    <x v="0"/>
    <x v="1"/>
    <x v="2"/>
    <n v="52.79"/>
    <n v="10"/>
    <n v="527.9"/>
    <x v="4"/>
    <x v="4"/>
    <x v="1"/>
    <n v="10"/>
    <s v="NO PARTICIPA"/>
  </r>
  <r>
    <n v="636488204"/>
    <x v="2"/>
    <x v="1"/>
    <x v="2"/>
    <n v="34.56"/>
    <n v="5"/>
    <n v="172.8"/>
    <x v="5"/>
    <x v="5"/>
    <x v="1"/>
    <n v="9.9"/>
    <s v="NO PARTICIPA"/>
  </r>
  <r>
    <n v="109282512"/>
    <x v="1"/>
    <x v="0"/>
    <x v="3"/>
    <n v="97.61"/>
    <n v="6"/>
    <n v="585.66"/>
    <x v="6"/>
    <x v="6"/>
    <x v="1"/>
    <n v="9.9"/>
    <s v="PARTICIPA"/>
  </r>
  <r>
    <n v="362588315"/>
    <x v="0"/>
    <x v="1"/>
    <x v="3"/>
    <n v="76.52"/>
    <n v="5"/>
    <n v="382.59999999999997"/>
    <x v="7"/>
    <x v="7"/>
    <x v="2"/>
    <n v="9.9"/>
    <s v="NO PARTICIPA"/>
  </r>
  <r>
    <n v="212621842"/>
    <x v="2"/>
    <x v="1"/>
    <x v="4"/>
    <n v="58.26"/>
    <n v="6"/>
    <n v="349.56"/>
    <x v="8"/>
    <x v="8"/>
    <x v="2"/>
    <n v="9.9"/>
    <s v="NO PARTICIPA"/>
  </r>
  <r>
    <n v="214176927"/>
    <x v="0"/>
    <x v="1"/>
    <x v="4"/>
    <n v="16.48"/>
    <n v="6"/>
    <n v="98.88"/>
    <x v="9"/>
    <x v="9"/>
    <x v="1"/>
    <n v="9.9"/>
    <s v="NO PARTICIPA"/>
  </r>
  <r>
    <n v="342654817"/>
    <x v="0"/>
    <x v="0"/>
    <x v="1"/>
    <n v="86.8"/>
    <n v="3"/>
    <n v="260.39999999999998"/>
    <x v="10"/>
    <x v="10"/>
    <x v="1"/>
    <n v="9.9"/>
    <s v="PARTICIPA"/>
  </r>
  <r>
    <n v="400607251"/>
    <x v="2"/>
    <x v="1"/>
    <x v="5"/>
    <n v="74.069999999999993"/>
    <n v="1"/>
    <n v="74.069999999999993"/>
    <x v="11"/>
    <x v="11"/>
    <x v="1"/>
    <n v="9.9"/>
    <s v="NO PARTICIPA"/>
  </r>
  <r>
    <n v="831076050"/>
    <x v="2"/>
    <x v="1"/>
    <x v="2"/>
    <n v="32.71"/>
    <n v="5"/>
    <n v="163.55000000000001"/>
    <x v="12"/>
    <x v="12"/>
    <x v="0"/>
    <n v="9.9"/>
    <s v="NO PARTICIPA"/>
  </r>
  <r>
    <n v="201862184"/>
    <x v="1"/>
    <x v="0"/>
    <x v="2"/>
    <n v="26.26"/>
    <n v="7"/>
    <n v="183.82000000000002"/>
    <x v="13"/>
    <x v="13"/>
    <x v="2"/>
    <n v="9.9"/>
    <s v="PARTICIPA"/>
  </r>
  <r>
    <n v="868527573"/>
    <x v="1"/>
    <x v="1"/>
    <x v="4"/>
    <n v="99.69"/>
    <n v="5"/>
    <n v="498.45"/>
    <x v="14"/>
    <x v="14"/>
    <x v="2"/>
    <n v="9.9"/>
    <s v="NO PARTICIPA"/>
  </r>
  <r>
    <n v="662722873"/>
    <x v="2"/>
    <x v="1"/>
    <x v="4"/>
    <n v="40.94"/>
    <n v="5"/>
    <n v="204.7"/>
    <x v="15"/>
    <x v="15"/>
    <x v="1"/>
    <n v="9.9"/>
    <s v="NO PARTICIPA"/>
  </r>
  <r>
    <n v="563474072"/>
    <x v="0"/>
    <x v="1"/>
    <x v="1"/>
    <n v="55.81"/>
    <n v="6"/>
    <n v="334.86"/>
    <x v="16"/>
    <x v="16"/>
    <x v="2"/>
    <n v="9.9"/>
    <s v="NO PARTICIPA"/>
  </r>
  <r>
    <n v="641512661"/>
    <x v="1"/>
    <x v="0"/>
    <x v="4"/>
    <n v="87.1"/>
    <n v="10"/>
    <n v="871"/>
    <x v="17"/>
    <x v="17"/>
    <x v="0"/>
    <n v="9.9"/>
    <s v="PARTICIPA"/>
  </r>
  <r>
    <n v="410671709"/>
    <x v="2"/>
    <x v="0"/>
    <x v="3"/>
    <n v="63.88"/>
    <n v="8"/>
    <n v="511.04"/>
    <x v="18"/>
    <x v="18"/>
    <x v="1"/>
    <n v="9.9"/>
    <s v="PARTICIPA"/>
  </r>
  <r>
    <n v="166192553"/>
    <x v="2"/>
    <x v="0"/>
    <x v="0"/>
    <n v="89.06"/>
    <n v="6"/>
    <n v="534.36"/>
    <x v="19"/>
    <x v="19"/>
    <x v="2"/>
    <n v="9.9"/>
    <s v="PARTICIPA"/>
  </r>
  <r>
    <n v="311136971"/>
    <x v="0"/>
    <x v="0"/>
    <x v="0"/>
    <n v="31.99"/>
    <n v="10"/>
    <n v="319.89999999999998"/>
    <x v="3"/>
    <x v="20"/>
    <x v="0"/>
    <n v="9.9"/>
    <s v="PARTICIPA"/>
  </r>
  <r>
    <n v="354395160"/>
    <x v="2"/>
    <x v="0"/>
    <x v="5"/>
    <n v="34.42"/>
    <n v="6"/>
    <n v="206.52"/>
    <x v="20"/>
    <x v="21"/>
    <x v="2"/>
    <n v="9.8000000000000007"/>
    <s v="PARTICIPA"/>
  </r>
  <r>
    <n v="608276295"/>
    <x v="1"/>
    <x v="0"/>
    <x v="2"/>
    <n v="52.89"/>
    <n v="6"/>
    <n v="317.34000000000003"/>
    <x v="21"/>
    <x v="22"/>
    <x v="0"/>
    <n v="9.8000000000000007"/>
    <s v="PARTICIPA"/>
  </r>
  <r>
    <n v="426392418"/>
    <x v="0"/>
    <x v="1"/>
    <x v="2"/>
    <n v="61.41"/>
    <n v="7"/>
    <n v="429.87"/>
    <x v="14"/>
    <x v="23"/>
    <x v="2"/>
    <n v="9.8000000000000007"/>
    <s v="NO PARTICIPA"/>
  </r>
  <r>
    <n v="372948041"/>
    <x v="2"/>
    <x v="1"/>
    <x v="1"/>
    <n v="15.26"/>
    <n v="6"/>
    <n v="91.56"/>
    <x v="0"/>
    <x v="24"/>
    <x v="1"/>
    <n v="9.8000000000000007"/>
    <s v="NO PARTICIPA"/>
  </r>
  <r>
    <n v="236863015"/>
    <x v="0"/>
    <x v="0"/>
    <x v="5"/>
    <n v="13.98"/>
    <n v="1"/>
    <n v="13.98"/>
    <x v="22"/>
    <x v="25"/>
    <x v="1"/>
    <n v="9.8000000000000007"/>
    <s v="NO PARTICIPA"/>
  </r>
  <r>
    <n v="740222500"/>
    <x v="0"/>
    <x v="1"/>
    <x v="2"/>
    <n v="84.05"/>
    <n v="3"/>
    <n v="252.14999999999998"/>
    <x v="23"/>
    <x v="26"/>
    <x v="2"/>
    <n v="9.8000000000000007"/>
    <s v="NO PARTICIPA"/>
  </r>
  <r>
    <n v="627953243"/>
    <x v="1"/>
    <x v="0"/>
    <x v="5"/>
    <n v="77.680000000000007"/>
    <n v="9"/>
    <n v="699.12000000000012"/>
    <x v="22"/>
    <x v="27"/>
    <x v="1"/>
    <n v="9.8000000000000007"/>
    <s v="PARTICIPA"/>
  </r>
  <r>
    <n v="726296793"/>
    <x v="2"/>
    <x v="0"/>
    <x v="2"/>
    <n v="24.18"/>
    <n v="8"/>
    <n v="193.44"/>
    <x v="10"/>
    <x v="28"/>
    <x v="1"/>
    <n v="9.8000000000000007"/>
    <s v="PARTICIPA"/>
  </r>
  <r>
    <n v="425852085"/>
    <x v="1"/>
    <x v="0"/>
    <x v="1"/>
    <n v="54.86"/>
    <n v="5"/>
    <n v="274.3"/>
    <x v="24"/>
    <x v="29"/>
    <x v="1"/>
    <n v="9.8000000000000007"/>
    <s v="PARTICIPA"/>
  </r>
  <r>
    <n v="127476963"/>
    <x v="2"/>
    <x v="1"/>
    <x v="1"/>
    <n v="51.71"/>
    <n v="4"/>
    <n v="206.84"/>
    <x v="25"/>
    <x v="30"/>
    <x v="0"/>
    <n v="9.8000000000000007"/>
    <s v="NO PARTICIPA"/>
  </r>
  <r>
    <n v="560496611"/>
    <x v="2"/>
    <x v="0"/>
    <x v="0"/>
    <n v="45.58"/>
    <n v="1"/>
    <n v="45.58"/>
    <x v="9"/>
    <x v="31"/>
    <x v="2"/>
    <n v="9.8000000000000007"/>
    <s v="PARTICIPA"/>
  </r>
  <r>
    <n v="436544512"/>
    <x v="2"/>
    <x v="0"/>
    <x v="4"/>
    <n v="91.61"/>
    <n v="1"/>
    <n v="91.61"/>
    <x v="26"/>
    <x v="32"/>
    <x v="2"/>
    <n v="9.8000000000000007"/>
    <s v="PARTICIPA"/>
  </r>
  <r>
    <n v="805860265"/>
    <x v="2"/>
    <x v="1"/>
    <x v="5"/>
    <n v="93.96"/>
    <n v="9"/>
    <n v="845.64"/>
    <x v="26"/>
    <x v="33"/>
    <x v="2"/>
    <n v="9.8000000000000007"/>
    <s v="NO PARTICIPA"/>
  </r>
  <r>
    <n v="801880346"/>
    <x v="1"/>
    <x v="1"/>
    <x v="3"/>
    <n v="76.06"/>
    <n v="3"/>
    <n v="228.18"/>
    <x v="27"/>
    <x v="34"/>
    <x v="0"/>
    <n v="9.8000000000000007"/>
    <s v="NO PARTICIPA"/>
  </r>
  <r>
    <n v="359945395"/>
    <x v="0"/>
    <x v="1"/>
    <x v="1"/>
    <n v="92.78"/>
    <n v="1"/>
    <n v="92.78"/>
    <x v="28"/>
    <x v="35"/>
    <x v="0"/>
    <n v="9.8000000000000007"/>
    <s v="NO PARTICIPA"/>
  </r>
  <r>
    <n v="501611753"/>
    <x v="0"/>
    <x v="1"/>
    <x v="5"/>
    <n v="63.15"/>
    <n v="6"/>
    <n v="378.9"/>
    <x v="29"/>
    <x v="36"/>
    <x v="1"/>
    <n v="9.8000000000000007"/>
    <s v="NO PARTICIPA"/>
  </r>
  <r>
    <n v="256583609"/>
    <x v="1"/>
    <x v="0"/>
    <x v="3"/>
    <n v="91.98"/>
    <n v="1"/>
    <n v="91.98"/>
    <x v="30"/>
    <x v="37"/>
    <x v="2"/>
    <n v="9.8000000000000007"/>
    <s v="PARTICIPA"/>
  </r>
  <r>
    <n v="324923863"/>
    <x v="2"/>
    <x v="0"/>
    <x v="2"/>
    <n v="20.89"/>
    <n v="2"/>
    <n v="41.78"/>
    <x v="31"/>
    <x v="38"/>
    <x v="2"/>
    <n v="9.8000000000000007"/>
    <s v="PARTICIPA"/>
  </r>
  <r>
    <n v="728479078"/>
    <x v="1"/>
    <x v="0"/>
    <x v="4"/>
    <n v="59.59"/>
    <n v="4"/>
    <n v="238.36"/>
    <x v="21"/>
    <x v="39"/>
    <x v="2"/>
    <n v="9.8000000000000007"/>
    <s v="PARTICIPA"/>
  </r>
  <r>
    <n v="307852293"/>
    <x v="1"/>
    <x v="1"/>
    <x v="5"/>
    <n v="50.28"/>
    <n v="5"/>
    <n v="251.4"/>
    <x v="32"/>
    <x v="15"/>
    <x v="1"/>
    <n v="9.6999999999999993"/>
    <s v="NO PARTICIPA"/>
  </r>
  <r>
    <n v="672518681"/>
    <x v="0"/>
    <x v="0"/>
    <x v="2"/>
    <n v="66.650000000000006"/>
    <n v="9"/>
    <n v="599.85"/>
    <x v="33"/>
    <x v="40"/>
    <x v="0"/>
    <n v="9.6999999999999993"/>
    <s v="PARTICIPA"/>
  </r>
  <r>
    <n v="746686593"/>
    <x v="0"/>
    <x v="0"/>
    <x v="0"/>
    <n v="87.16"/>
    <n v="2"/>
    <n v="174.32"/>
    <x v="34"/>
    <x v="41"/>
    <x v="0"/>
    <n v="9.6999999999999993"/>
    <s v="PARTICIPA"/>
  </r>
  <r>
    <n v="583721480"/>
    <x v="0"/>
    <x v="0"/>
    <x v="2"/>
    <n v="37.06"/>
    <n v="4"/>
    <n v="148.24"/>
    <x v="35"/>
    <x v="42"/>
    <x v="1"/>
    <n v="9.6999999999999993"/>
    <s v="PARTICIPA"/>
  </r>
  <r>
    <n v="366930948"/>
    <x v="2"/>
    <x v="0"/>
    <x v="2"/>
    <n v="66.349999999999994"/>
    <n v="1"/>
    <n v="66.349999999999994"/>
    <x v="35"/>
    <x v="43"/>
    <x v="0"/>
    <n v="9.6999999999999993"/>
    <s v="PARTICIPA"/>
  </r>
  <r>
    <n v="687151097"/>
    <x v="0"/>
    <x v="0"/>
    <x v="1"/>
    <n v="21.12"/>
    <n v="2"/>
    <n v="42.24"/>
    <x v="29"/>
    <x v="44"/>
    <x v="2"/>
    <n v="9.6999999999999993"/>
    <s v="PARTICIPA"/>
  </r>
  <r>
    <n v="181946432"/>
    <x v="0"/>
    <x v="0"/>
    <x v="3"/>
    <n v="69.33"/>
    <n v="2"/>
    <n v="138.66"/>
    <x v="36"/>
    <x v="45"/>
    <x v="1"/>
    <n v="9.6999999999999993"/>
    <s v="PARTICIPA"/>
  </r>
  <r>
    <n v="173829529"/>
    <x v="1"/>
    <x v="1"/>
    <x v="3"/>
    <n v="37.950000000000003"/>
    <n v="10"/>
    <n v="379.5"/>
    <x v="37"/>
    <x v="46"/>
    <x v="2"/>
    <n v="9.6999999999999993"/>
    <s v="NO PARTICIPA"/>
  </r>
  <r>
    <n v="301119629"/>
    <x v="2"/>
    <x v="1"/>
    <x v="0"/>
    <n v="19.100000000000001"/>
    <n v="7"/>
    <n v="133.70000000000002"/>
    <x v="38"/>
    <x v="47"/>
    <x v="2"/>
    <n v="9.6999999999999993"/>
    <s v="NO PARTICIPA"/>
  </r>
  <r>
    <n v="340219136"/>
    <x v="2"/>
    <x v="0"/>
    <x v="0"/>
    <n v="40.049999999999997"/>
    <n v="4"/>
    <n v="160.19999999999999"/>
    <x v="39"/>
    <x v="48"/>
    <x v="2"/>
    <n v="9.6999999999999993"/>
    <s v="PARTICIPA"/>
  </r>
  <r>
    <n v="220281851"/>
    <x v="2"/>
    <x v="1"/>
    <x v="5"/>
    <n v="34.729999999999997"/>
    <n v="2"/>
    <n v="69.459999999999994"/>
    <x v="29"/>
    <x v="49"/>
    <x v="1"/>
    <n v="9.6999999999999993"/>
    <s v="NO PARTICIPA"/>
  </r>
  <r>
    <n v="210571719"/>
    <x v="1"/>
    <x v="1"/>
    <x v="1"/>
    <n v="58.24"/>
    <n v="9"/>
    <n v="524.16"/>
    <x v="36"/>
    <x v="50"/>
    <x v="2"/>
    <n v="9.6999999999999993"/>
    <s v="NO PARTICIPA"/>
  </r>
  <r>
    <n v="497376538"/>
    <x v="2"/>
    <x v="1"/>
    <x v="0"/>
    <n v="58.91"/>
    <n v="7"/>
    <n v="412.37"/>
    <x v="40"/>
    <x v="51"/>
    <x v="1"/>
    <n v="9.6999999999999993"/>
    <s v="NO PARTICIPA"/>
  </r>
  <r>
    <n v="585900249"/>
    <x v="2"/>
    <x v="0"/>
    <x v="2"/>
    <n v="73.260000000000005"/>
    <n v="1"/>
    <n v="73.260000000000005"/>
    <x v="41"/>
    <x v="52"/>
    <x v="1"/>
    <n v="9.6999999999999993"/>
    <s v="PARTICIPA"/>
  </r>
  <r>
    <n v="226313081"/>
    <x v="0"/>
    <x v="1"/>
    <x v="2"/>
    <n v="15.28"/>
    <n v="5"/>
    <n v="76.399999999999991"/>
    <x v="42"/>
    <x v="53"/>
    <x v="2"/>
    <n v="9.6"/>
    <s v="NO PARTICIPA"/>
  </r>
  <r>
    <n v="145949061"/>
    <x v="1"/>
    <x v="1"/>
    <x v="4"/>
    <n v="88.36"/>
    <n v="5"/>
    <n v="441.8"/>
    <x v="39"/>
    <x v="54"/>
    <x v="2"/>
    <n v="9.6"/>
    <s v="NO PARTICIPA"/>
  </r>
  <r>
    <n v="393652792"/>
    <x v="0"/>
    <x v="1"/>
    <x v="4"/>
    <n v="89.48"/>
    <n v="10"/>
    <n v="894.80000000000007"/>
    <x v="15"/>
    <x v="39"/>
    <x v="0"/>
    <n v="9.6"/>
    <s v="NO PARTICIPA"/>
  </r>
  <r>
    <n v="175542529"/>
    <x v="2"/>
    <x v="0"/>
    <x v="4"/>
    <n v="22.17"/>
    <n v="8"/>
    <n v="177.36"/>
    <x v="43"/>
    <x v="55"/>
    <x v="0"/>
    <n v="9.6"/>
    <s v="PARTICIPA"/>
  </r>
  <r>
    <n v="828615674"/>
    <x v="2"/>
    <x v="0"/>
    <x v="0"/>
    <n v="44.02"/>
    <n v="10"/>
    <n v="440.20000000000005"/>
    <x v="26"/>
    <x v="56"/>
    <x v="0"/>
    <n v="9.6"/>
    <s v="PARTICIPA"/>
  </r>
  <r>
    <n v="286015402"/>
    <x v="2"/>
    <x v="1"/>
    <x v="0"/>
    <n v="40.229999999999997"/>
    <n v="7"/>
    <n v="281.60999999999996"/>
    <x v="44"/>
    <x v="57"/>
    <x v="2"/>
    <n v="9.6"/>
    <s v="NO PARTICIPA"/>
  </r>
  <r>
    <n v="843014703"/>
    <x v="1"/>
    <x v="0"/>
    <x v="5"/>
    <n v="35.380000000000003"/>
    <n v="9"/>
    <n v="318.42"/>
    <x v="45"/>
    <x v="58"/>
    <x v="0"/>
    <n v="9.6"/>
    <s v="PARTICIPA"/>
  </r>
  <r>
    <n v="831640259"/>
    <x v="1"/>
    <x v="1"/>
    <x v="3"/>
    <n v="39.75"/>
    <n v="5"/>
    <n v="198.75"/>
    <x v="46"/>
    <x v="47"/>
    <x v="1"/>
    <n v="9.6"/>
    <s v="NO PARTICIPA"/>
  </r>
  <r>
    <n v="616870016"/>
    <x v="1"/>
    <x v="1"/>
    <x v="3"/>
    <n v="95.54"/>
    <n v="7"/>
    <n v="668.78000000000009"/>
    <x v="25"/>
    <x v="59"/>
    <x v="0"/>
    <n v="9.6"/>
    <s v="NO PARTICIPA"/>
  </r>
  <r>
    <n v="257731380"/>
    <x v="0"/>
    <x v="0"/>
    <x v="0"/>
    <n v="82.93"/>
    <n v="4"/>
    <n v="331.72"/>
    <x v="18"/>
    <x v="60"/>
    <x v="1"/>
    <n v="9.6"/>
    <s v="PARTICIPA"/>
  </r>
  <r>
    <n v="449272918"/>
    <x v="1"/>
    <x v="0"/>
    <x v="0"/>
    <n v="39.119999999999997"/>
    <n v="1"/>
    <n v="39.119999999999997"/>
    <x v="47"/>
    <x v="61"/>
    <x v="0"/>
    <n v="9.6"/>
    <s v="PARTICIPA"/>
  </r>
  <r>
    <n v="420188989"/>
    <x v="2"/>
    <x v="0"/>
    <x v="0"/>
    <n v="51.52"/>
    <n v="8"/>
    <n v="412.16"/>
    <x v="13"/>
    <x v="62"/>
    <x v="2"/>
    <n v="9.6"/>
    <s v="PARTICIPA"/>
  </r>
  <r>
    <n v="334642006"/>
    <x v="2"/>
    <x v="0"/>
    <x v="5"/>
    <n v="70.319999999999993"/>
    <n v="2"/>
    <n v="140.63999999999999"/>
    <x v="48"/>
    <x v="63"/>
    <x v="1"/>
    <n v="9.6"/>
    <s v="PARTICIPA"/>
  </r>
  <r>
    <n v="626437888"/>
    <x v="1"/>
    <x v="1"/>
    <x v="3"/>
    <n v="60.41"/>
    <n v="8"/>
    <n v="483.28"/>
    <x v="9"/>
    <x v="64"/>
    <x v="1"/>
    <n v="9.6"/>
    <s v="NO PARTICIPA"/>
  </r>
  <r>
    <n v="875318302"/>
    <x v="0"/>
    <x v="1"/>
    <x v="0"/>
    <n v="93.38"/>
    <n v="1"/>
    <n v="93.38"/>
    <x v="29"/>
    <x v="65"/>
    <x v="2"/>
    <n v="9.6"/>
    <s v="NO PARTICIPA"/>
  </r>
  <r>
    <n v="832516761"/>
    <x v="2"/>
    <x v="1"/>
    <x v="4"/>
    <n v="33.880000000000003"/>
    <n v="8"/>
    <n v="271.04000000000002"/>
    <x v="21"/>
    <x v="66"/>
    <x v="1"/>
    <n v="9.6"/>
    <s v="NO PARTICIPA"/>
  </r>
  <r>
    <n v="584664073"/>
    <x v="1"/>
    <x v="1"/>
    <x v="3"/>
    <n v="56.5"/>
    <n v="1"/>
    <n v="56.5"/>
    <x v="49"/>
    <x v="67"/>
    <x v="1"/>
    <n v="9.6"/>
    <s v="NO PARTICIPA"/>
  </r>
  <r>
    <n v="132329879"/>
    <x v="1"/>
    <x v="0"/>
    <x v="2"/>
    <n v="93.96"/>
    <n v="4"/>
    <n v="375.84"/>
    <x v="25"/>
    <x v="68"/>
    <x v="2"/>
    <n v="9.5"/>
    <s v="PARTICIPA"/>
  </r>
  <r>
    <n v="326785178"/>
    <x v="0"/>
    <x v="0"/>
    <x v="4"/>
    <n v="91.4"/>
    <n v="7"/>
    <n v="639.80000000000007"/>
    <x v="1"/>
    <x v="69"/>
    <x v="2"/>
    <n v="9.5"/>
    <s v="PARTICIPA"/>
  </r>
  <r>
    <n v="237016122"/>
    <x v="0"/>
    <x v="0"/>
    <x v="5"/>
    <n v="80.790000000000006"/>
    <n v="9"/>
    <n v="727.11"/>
    <x v="50"/>
    <x v="70"/>
    <x v="0"/>
    <n v="9.5"/>
    <s v="PARTICIPA"/>
  </r>
  <r>
    <n v="458411477"/>
    <x v="0"/>
    <x v="1"/>
    <x v="1"/>
    <n v="46.26"/>
    <n v="6"/>
    <n v="277.56"/>
    <x v="42"/>
    <x v="71"/>
    <x v="0"/>
    <n v="9.5"/>
    <s v="NO PARTICIPA"/>
  </r>
  <r>
    <n v="571940759"/>
    <x v="1"/>
    <x v="0"/>
    <x v="4"/>
    <n v="74.599999999999994"/>
    <n v="10"/>
    <n v="746"/>
    <x v="51"/>
    <x v="72"/>
    <x v="2"/>
    <n v="9.5"/>
    <s v="PARTICIPA"/>
  </r>
  <r>
    <n v="226713580"/>
    <x v="0"/>
    <x v="1"/>
    <x v="0"/>
    <n v="23.75"/>
    <n v="9"/>
    <n v="213.75"/>
    <x v="35"/>
    <x v="73"/>
    <x v="2"/>
    <n v="9.5"/>
    <s v="NO PARTICIPA"/>
  </r>
  <r>
    <n v="633093463"/>
    <x v="0"/>
    <x v="1"/>
    <x v="2"/>
    <n v="47.65"/>
    <n v="3"/>
    <n v="142.94999999999999"/>
    <x v="8"/>
    <x v="74"/>
    <x v="0"/>
    <n v="9.5"/>
    <s v="NO PARTICIPA"/>
  </r>
  <r>
    <n v="394410748"/>
    <x v="0"/>
    <x v="0"/>
    <x v="3"/>
    <n v="54.07"/>
    <n v="9"/>
    <n v="486.63"/>
    <x v="41"/>
    <x v="75"/>
    <x v="1"/>
    <n v="9.5"/>
    <s v="PARTICIPA"/>
  </r>
  <r>
    <n v="192987397"/>
    <x v="0"/>
    <x v="1"/>
    <x v="3"/>
    <n v="12.78"/>
    <n v="1"/>
    <n v="12.78"/>
    <x v="51"/>
    <x v="76"/>
    <x v="1"/>
    <n v="9.5"/>
    <s v="NO PARTICIPA"/>
  </r>
  <r>
    <n v="390805128"/>
    <x v="1"/>
    <x v="0"/>
    <x v="1"/>
    <n v="19.149999999999999"/>
    <n v="1"/>
    <n v="19.149999999999999"/>
    <x v="10"/>
    <x v="77"/>
    <x v="0"/>
    <n v="9.5"/>
    <s v="NO PARTICIPA"/>
  </r>
  <r>
    <n v="511543087"/>
    <x v="1"/>
    <x v="1"/>
    <x v="0"/>
    <n v="88.45"/>
    <n v="1"/>
    <n v="88.45"/>
    <x v="4"/>
    <x v="78"/>
    <x v="0"/>
    <n v="9.5"/>
    <s v="NO PARTICIPA"/>
  </r>
  <r>
    <n v="198669832"/>
    <x v="1"/>
    <x v="0"/>
    <x v="3"/>
    <n v="72.040000000000006"/>
    <n v="2"/>
    <n v="144.08000000000001"/>
    <x v="22"/>
    <x v="79"/>
    <x v="2"/>
    <n v="9.5"/>
    <s v="PARTICIPA"/>
  </r>
  <r>
    <n v="359903665"/>
    <x v="1"/>
    <x v="0"/>
    <x v="3"/>
    <n v="18.079999999999998"/>
    <n v="4"/>
    <n v="72.319999999999993"/>
    <x v="14"/>
    <x v="24"/>
    <x v="0"/>
    <n v="9.5"/>
    <s v="PARTICIPA"/>
  </r>
  <r>
    <n v="152682907"/>
    <x v="2"/>
    <x v="1"/>
    <x v="4"/>
    <n v="52.2"/>
    <n v="3"/>
    <n v="156.60000000000002"/>
    <x v="0"/>
    <x v="80"/>
    <x v="0"/>
    <n v="9.5"/>
    <s v="NO PARTICIPA"/>
  </r>
  <r>
    <n v="196012849"/>
    <x v="1"/>
    <x v="0"/>
    <x v="3"/>
    <n v="73.38"/>
    <n v="7"/>
    <n v="513.66"/>
    <x v="11"/>
    <x v="81"/>
    <x v="2"/>
    <n v="9.5"/>
    <s v="PARTICIPA"/>
  </r>
  <r>
    <n v="756490168"/>
    <x v="2"/>
    <x v="0"/>
    <x v="3"/>
    <n v="19.7"/>
    <n v="1"/>
    <n v="19.7"/>
    <x v="52"/>
    <x v="82"/>
    <x v="1"/>
    <n v="9.5"/>
    <s v="NO PARTICIPA"/>
  </r>
  <r>
    <n v="546802899"/>
    <x v="2"/>
    <x v="0"/>
    <x v="5"/>
    <n v="37.69"/>
    <n v="2"/>
    <n v="75.38"/>
    <x v="3"/>
    <x v="37"/>
    <x v="1"/>
    <n v="9.5"/>
    <s v="PARTICIPA"/>
  </r>
  <r>
    <n v="636170325"/>
    <x v="0"/>
    <x v="1"/>
    <x v="1"/>
    <n v="62.57"/>
    <n v="4"/>
    <n v="250.28"/>
    <x v="4"/>
    <x v="83"/>
    <x v="2"/>
    <n v="9.5"/>
    <s v="NO PARTICIPA"/>
  </r>
  <r>
    <n v="115387388"/>
    <x v="1"/>
    <x v="0"/>
    <x v="3"/>
    <n v="10.18"/>
    <n v="8"/>
    <n v="81.44"/>
    <x v="44"/>
    <x v="84"/>
    <x v="0"/>
    <n v="9.5"/>
    <s v="PARTICIPA"/>
  </r>
  <r>
    <n v="884806021"/>
    <x v="2"/>
    <x v="0"/>
    <x v="2"/>
    <n v="73.47"/>
    <n v="10"/>
    <n v="734.7"/>
    <x v="53"/>
    <x v="85"/>
    <x v="1"/>
    <n v="9.5"/>
    <s v="PARTICIPA"/>
  </r>
  <r>
    <n v="756931854"/>
    <x v="1"/>
    <x v="0"/>
    <x v="3"/>
    <n v="83.35"/>
    <n v="2"/>
    <n v="166.7"/>
    <x v="13"/>
    <x v="86"/>
    <x v="0"/>
    <n v="9.5"/>
    <s v="PARTICIPA"/>
  </r>
  <r>
    <n v="605032706"/>
    <x v="2"/>
    <x v="1"/>
    <x v="1"/>
    <n v="15.8"/>
    <n v="3"/>
    <n v="47.400000000000006"/>
    <x v="7"/>
    <x v="87"/>
    <x v="2"/>
    <n v="9.5"/>
    <s v="NO PARTICIPA"/>
  </r>
  <r>
    <n v="287219091"/>
    <x v="2"/>
    <x v="1"/>
    <x v="5"/>
    <n v="74.67"/>
    <n v="9"/>
    <n v="672.03"/>
    <x v="16"/>
    <x v="88"/>
    <x v="1"/>
    <n v="9.4"/>
    <s v="NO PARTICIPA"/>
  </r>
  <r>
    <n v="316554634"/>
    <x v="1"/>
    <x v="0"/>
    <x v="4"/>
    <n v="80.05"/>
    <n v="5"/>
    <n v="400.25"/>
    <x v="37"/>
    <x v="89"/>
    <x v="0"/>
    <n v="9.4"/>
    <s v="PARTICIPA"/>
  </r>
  <r>
    <n v="389253394"/>
    <x v="0"/>
    <x v="1"/>
    <x v="2"/>
    <n v="11.81"/>
    <n v="5"/>
    <n v="59.050000000000004"/>
    <x v="5"/>
    <x v="90"/>
    <x v="2"/>
    <n v="9.4"/>
    <s v="NO PARTICIPA"/>
  </r>
  <r>
    <n v="746545508"/>
    <x v="2"/>
    <x v="1"/>
    <x v="5"/>
    <n v="21.52"/>
    <n v="6"/>
    <n v="129.12"/>
    <x v="40"/>
    <x v="91"/>
    <x v="0"/>
    <n v="9.4"/>
    <s v="NO PARTICIPA"/>
  </r>
  <r>
    <n v="595862894"/>
    <x v="0"/>
    <x v="0"/>
    <x v="3"/>
    <n v="96.98"/>
    <n v="4"/>
    <n v="387.92"/>
    <x v="54"/>
    <x v="92"/>
    <x v="1"/>
    <n v="9.4"/>
    <s v="PARTICIPA"/>
  </r>
  <r>
    <n v="110056330"/>
    <x v="0"/>
    <x v="1"/>
    <x v="4"/>
    <n v="39.43"/>
    <n v="6"/>
    <n v="236.57999999999998"/>
    <x v="7"/>
    <x v="93"/>
    <x v="0"/>
    <n v="9.4"/>
    <s v="NO PARTICIPA"/>
  </r>
  <r>
    <n v="718579773"/>
    <x v="0"/>
    <x v="1"/>
    <x v="0"/>
    <n v="49.33"/>
    <n v="10"/>
    <n v="493.29999999999995"/>
    <x v="1"/>
    <x v="94"/>
    <x v="0"/>
    <n v="9.4"/>
    <s v="NO PARTICIPA"/>
  </r>
  <r>
    <n v="788078452"/>
    <x v="0"/>
    <x v="0"/>
    <x v="5"/>
    <n v="24.24"/>
    <n v="7"/>
    <n v="169.67999999999998"/>
    <x v="41"/>
    <x v="95"/>
    <x v="1"/>
    <n v="9.4"/>
    <s v="PARTICIPA"/>
  </r>
  <r>
    <n v="133773154"/>
    <x v="0"/>
    <x v="0"/>
    <x v="3"/>
    <n v="60.18"/>
    <n v="4"/>
    <n v="240.72"/>
    <x v="55"/>
    <x v="96"/>
    <x v="0"/>
    <n v="9.4"/>
    <s v="PARTICIPA"/>
  </r>
  <r>
    <n v="130674723"/>
    <x v="2"/>
    <x v="0"/>
    <x v="4"/>
    <n v="48.5"/>
    <n v="6"/>
    <n v="291"/>
    <x v="56"/>
    <x v="97"/>
    <x v="1"/>
    <n v="9.4"/>
    <s v="PARTICIPA"/>
  </r>
  <r>
    <n v="401094232"/>
    <x v="1"/>
    <x v="0"/>
    <x v="5"/>
    <n v="86.69"/>
    <n v="5"/>
    <n v="433.45"/>
    <x v="57"/>
    <x v="98"/>
    <x v="1"/>
    <n v="9.4"/>
    <s v="PARTICIPA"/>
  </r>
  <r>
    <n v="715201673"/>
    <x v="0"/>
    <x v="1"/>
    <x v="2"/>
    <n v="28.38"/>
    <n v="5"/>
    <n v="141.9"/>
    <x v="58"/>
    <x v="99"/>
    <x v="2"/>
    <n v="9.4"/>
    <s v="NO PARTICIPA"/>
  </r>
  <r>
    <n v="120064233"/>
    <x v="0"/>
    <x v="1"/>
    <x v="2"/>
    <n v="30.61"/>
    <n v="6"/>
    <n v="183.66"/>
    <x v="59"/>
    <x v="100"/>
    <x v="2"/>
    <n v="9.3000000000000007"/>
    <s v="NO PARTICIPA"/>
  </r>
  <r>
    <n v="865926136"/>
    <x v="2"/>
    <x v="1"/>
    <x v="4"/>
    <n v="52.75"/>
    <n v="3"/>
    <n v="158.25"/>
    <x v="53"/>
    <x v="101"/>
    <x v="1"/>
    <n v="9.3000000000000007"/>
    <s v="NO PARTICIPA"/>
  </r>
  <r>
    <n v="400894171"/>
    <x v="0"/>
    <x v="1"/>
    <x v="0"/>
    <n v="80.97"/>
    <n v="8"/>
    <n v="647.76"/>
    <x v="10"/>
    <x v="102"/>
    <x v="2"/>
    <n v="9.3000000000000007"/>
    <s v="NO PARTICIPA"/>
  </r>
  <r>
    <n v="416135917"/>
    <x v="0"/>
    <x v="1"/>
    <x v="4"/>
    <n v="97.03"/>
    <n v="5"/>
    <n v="485.15"/>
    <x v="60"/>
    <x v="42"/>
    <x v="1"/>
    <n v="9.3000000000000007"/>
    <s v="NO PARTICIPA"/>
  </r>
  <r>
    <n v="632900281"/>
    <x v="0"/>
    <x v="1"/>
    <x v="3"/>
    <n v="37.549999999999997"/>
    <n v="10"/>
    <n v="375.5"/>
    <x v="42"/>
    <x v="103"/>
    <x v="0"/>
    <n v="9.3000000000000007"/>
    <s v="NO PARTICIPA"/>
  </r>
  <r>
    <n v="595274851"/>
    <x v="2"/>
    <x v="1"/>
    <x v="3"/>
    <n v="54.28"/>
    <n v="7"/>
    <n v="379.96000000000004"/>
    <x v="41"/>
    <x v="104"/>
    <x v="1"/>
    <n v="9.3000000000000007"/>
    <s v="NO PARTICIPA"/>
  </r>
  <r>
    <n v="827777633"/>
    <x v="2"/>
    <x v="1"/>
    <x v="0"/>
    <n v="98.09"/>
    <n v="9"/>
    <n v="882.81000000000006"/>
    <x v="5"/>
    <x v="105"/>
    <x v="2"/>
    <n v="9.3000000000000007"/>
    <s v="NO PARTICIPA"/>
  </r>
  <r>
    <n v="322022271"/>
    <x v="0"/>
    <x v="1"/>
    <x v="0"/>
    <n v="42.97"/>
    <n v="3"/>
    <n v="128.91"/>
    <x v="1"/>
    <x v="106"/>
    <x v="2"/>
    <n v="9.3000000000000007"/>
    <s v="NO PARTICIPA"/>
  </r>
  <r>
    <n v="556416224"/>
    <x v="1"/>
    <x v="1"/>
    <x v="1"/>
    <n v="33.64"/>
    <n v="8"/>
    <n v="269.12"/>
    <x v="0"/>
    <x v="107"/>
    <x v="0"/>
    <n v="9.3000000000000007"/>
    <s v="NO PARTICIPA"/>
  </r>
  <r>
    <n v="299290180"/>
    <x v="0"/>
    <x v="0"/>
    <x v="5"/>
    <n v="52.18"/>
    <n v="7"/>
    <n v="365.26"/>
    <x v="25"/>
    <x v="108"/>
    <x v="2"/>
    <n v="9.3000000000000007"/>
    <s v="PARTICIPA"/>
  </r>
  <r>
    <n v="790384466"/>
    <x v="1"/>
    <x v="1"/>
    <x v="1"/>
    <n v="10.99"/>
    <n v="5"/>
    <n v="54.95"/>
    <x v="23"/>
    <x v="109"/>
    <x v="0"/>
    <n v="9.3000000000000007"/>
    <s v="NO PARTICIPA"/>
  </r>
  <r>
    <n v="263125321"/>
    <x v="2"/>
    <x v="0"/>
    <x v="2"/>
    <n v="92.6"/>
    <n v="7"/>
    <n v="648.19999999999993"/>
    <x v="61"/>
    <x v="110"/>
    <x v="0"/>
    <n v="9.3000000000000007"/>
    <s v="PARTICIPA"/>
  </r>
  <r>
    <n v="852822749"/>
    <x v="2"/>
    <x v="1"/>
    <x v="0"/>
    <n v="64.59"/>
    <n v="4"/>
    <n v="258.36"/>
    <x v="15"/>
    <x v="111"/>
    <x v="1"/>
    <n v="9.3000000000000007"/>
    <s v="NO PARTICIPA"/>
  </r>
  <r>
    <n v="722132115"/>
    <x v="1"/>
    <x v="0"/>
    <x v="0"/>
    <n v="42.85"/>
    <n v="1"/>
    <n v="42.85"/>
    <x v="62"/>
    <x v="112"/>
    <x v="0"/>
    <n v="9.3000000000000007"/>
    <s v="PARTICIPA"/>
  </r>
  <r>
    <n v="503214385"/>
    <x v="0"/>
    <x v="0"/>
    <x v="1"/>
    <n v="39.909999999999997"/>
    <n v="3"/>
    <n v="119.72999999999999"/>
    <x v="63"/>
    <x v="113"/>
    <x v="1"/>
    <n v="9.3000000000000007"/>
    <s v="PARTICIPA"/>
  </r>
  <r>
    <n v="195060432"/>
    <x v="2"/>
    <x v="0"/>
    <x v="5"/>
    <n v="81.010000000000005"/>
    <n v="3"/>
    <n v="243.03000000000003"/>
    <x v="64"/>
    <x v="114"/>
    <x v="0"/>
    <n v="9.3000000000000007"/>
    <s v="PARTICIPA"/>
  </r>
  <r>
    <n v="861770145"/>
    <x v="0"/>
    <x v="0"/>
    <x v="2"/>
    <n v="81.97"/>
    <n v="10"/>
    <n v="819.7"/>
    <x v="43"/>
    <x v="115"/>
    <x v="2"/>
    <n v="9.1999999999999993"/>
    <s v="PARTICIPA"/>
  </r>
  <r>
    <n v="575308091"/>
    <x v="2"/>
    <x v="1"/>
    <x v="0"/>
    <n v="72.5"/>
    <n v="8"/>
    <n v="580"/>
    <x v="65"/>
    <x v="116"/>
    <x v="1"/>
    <n v="9.1999999999999993"/>
    <s v="NO PARTICIPA"/>
  </r>
  <r>
    <n v="685641609"/>
    <x v="2"/>
    <x v="0"/>
    <x v="3"/>
    <n v="30.14"/>
    <n v="10"/>
    <n v="301.39999999999998"/>
    <x v="11"/>
    <x v="117"/>
    <x v="1"/>
    <n v="9.1999999999999993"/>
    <s v="PARTICIPA"/>
  </r>
  <r>
    <n v="286436208"/>
    <x v="0"/>
    <x v="1"/>
    <x v="4"/>
    <n v="87.8"/>
    <n v="9"/>
    <n v="790.19999999999993"/>
    <x v="65"/>
    <x v="118"/>
    <x v="2"/>
    <n v="9.1999999999999993"/>
    <s v="NO PARTICIPA"/>
  </r>
  <r>
    <n v="472159636"/>
    <x v="2"/>
    <x v="1"/>
    <x v="5"/>
    <n v="50.93"/>
    <n v="8"/>
    <n v="407.44"/>
    <x v="66"/>
    <x v="119"/>
    <x v="1"/>
    <n v="9.1999999999999993"/>
    <s v="NO PARTICIPA"/>
  </r>
  <r>
    <n v="186093669"/>
    <x v="0"/>
    <x v="0"/>
    <x v="1"/>
    <n v="81.510000000000005"/>
    <n v="1"/>
    <n v="81.510000000000005"/>
    <x v="16"/>
    <x v="120"/>
    <x v="1"/>
    <n v="9.1999999999999993"/>
    <s v="PARTICIPA"/>
  </r>
  <r>
    <n v="841188232"/>
    <x v="1"/>
    <x v="1"/>
    <x v="4"/>
    <n v="71.2"/>
    <n v="1"/>
    <n v="71.2"/>
    <x v="45"/>
    <x v="121"/>
    <x v="0"/>
    <n v="9.1999999999999993"/>
    <s v="NO PARTICIPA"/>
  </r>
  <r>
    <n v="278862735"/>
    <x v="2"/>
    <x v="1"/>
    <x v="4"/>
    <n v="52.34"/>
    <n v="3"/>
    <n v="157.02000000000001"/>
    <x v="2"/>
    <x v="122"/>
    <x v="2"/>
    <n v="9.1999999999999993"/>
    <s v="NO PARTICIPA"/>
  </r>
  <r>
    <n v="258697810"/>
    <x v="1"/>
    <x v="1"/>
    <x v="3"/>
    <n v="36.85"/>
    <n v="5"/>
    <n v="184.25"/>
    <x v="37"/>
    <x v="123"/>
    <x v="2"/>
    <n v="9.1999999999999993"/>
    <s v="NO PARTICIPA"/>
  </r>
  <r>
    <n v="420973340"/>
    <x v="2"/>
    <x v="1"/>
    <x v="4"/>
    <n v="71.680000000000007"/>
    <n v="3"/>
    <n v="215.04000000000002"/>
    <x v="8"/>
    <x v="124"/>
    <x v="0"/>
    <n v="9.1999999999999993"/>
    <s v="NO PARTICIPA"/>
  </r>
  <r>
    <n v="729062010"/>
    <x v="0"/>
    <x v="0"/>
    <x v="1"/>
    <n v="80.47"/>
    <n v="9"/>
    <n v="724.23"/>
    <x v="15"/>
    <x v="125"/>
    <x v="2"/>
    <n v="9.1999999999999993"/>
    <s v="PARTICIPA"/>
  </r>
  <r>
    <n v="400804065"/>
    <x v="1"/>
    <x v="0"/>
    <x v="1"/>
    <n v="68.55"/>
    <n v="4"/>
    <n v="274.2"/>
    <x v="0"/>
    <x v="126"/>
    <x v="0"/>
    <n v="9.1999999999999993"/>
    <s v="PARTICIPA"/>
  </r>
  <r>
    <n v="477592456"/>
    <x v="1"/>
    <x v="1"/>
    <x v="3"/>
    <n v="45.44"/>
    <n v="7"/>
    <n v="318.08"/>
    <x v="23"/>
    <x v="5"/>
    <x v="2"/>
    <n v="9.1999999999999993"/>
    <s v="NO PARTICIPA"/>
  </r>
  <r>
    <n v="528149470"/>
    <x v="2"/>
    <x v="0"/>
    <x v="1"/>
    <n v="91.3"/>
    <n v="1"/>
    <n v="91.3"/>
    <x v="67"/>
    <x v="127"/>
    <x v="1"/>
    <n v="9.1999999999999993"/>
    <s v="PARTICIPA"/>
  </r>
  <r>
    <n v="843734724"/>
    <x v="2"/>
    <x v="1"/>
    <x v="3"/>
    <n v="74.099999999999994"/>
    <n v="1"/>
    <n v="74.099999999999994"/>
    <x v="39"/>
    <x v="128"/>
    <x v="2"/>
    <n v="9.1999999999999993"/>
    <s v="NO PARTICIPA"/>
  </r>
  <r>
    <n v="409339708"/>
    <x v="2"/>
    <x v="1"/>
    <x v="3"/>
    <n v="98.48"/>
    <n v="2"/>
    <n v="196.96"/>
    <x v="68"/>
    <x v="129"/>
    <x v="1"/>
    <n v="9.1999999999999993"/>
    <s v="NO PARTICIPA"/>
  </r>
  <r>
    <n v="750678428"/>
    <x v="2"/>
    <x v="0"/>
    <x v="1"/>
    <n v="74.69"/>
    <n v="7"/>
    <n v="522.82999999999993"/>
    <x v="45"/>
    <x v="130"/>
    <x v="1"/>
    <n v="9.1"/>
    <s v="PARTICIPA"/>
  </r>
  <r>
    <n v="338652210"/>
    <x v="0"/>
    <x v="0"/>
    <x v="1"/>
    <n v="68.599999999999994"/>
    <n v="10"/>
    <n v="686"/>
    <x v="36"/>
    <x v="56"/>
    <x v="2"/>
    <n v="9.1"/>
    <s v="PARTICIPA"/>
  </r>
  <r>
    <n v="565173836"/>
    <x v="2"/>
    <x v="0"/>
    <x v="1"/>
    <n v="47.67"/>
    <n v="4"/>
    <n v="190.68"/>
    <x v="59"/>
    <x v="131"/>
    <x v="2"/>
    <n v="9.1"/>
    <s v="PARTICIPA"/>
  </r>
  <r>
    <n v="634978956"/>
    <x v="2"/>
    <x v="1"/>
    <x v="4"/>
    <n v="32.9"/>
    <n v="3"/>
    <n v="98.699999999999989"/>
    <x v="5"/>
    <x v="132"/>
    <x v="0"/>
    <n v="9.1"/>
    <s v="NO PARTICIPA"/>
  </r>
  <r>
    <n v="527096272"/>
    <x v="2"/>
    <x v="0"/>
    <x v="2"/>
    <n v="28.45"/>
    <n v="5"/>
    <n v="142.25"/>
    <x v="23"/>
    <x v="133"/>
    <x v="0"/>
    <n v="9.1"/>
    <s v="PARTICIPA"/>
  </r>
  <r>
    <n v="605724132"/>
    <x v="0"/>
    <x v="1"/>
    <x v="4"/>
    <n v="94.47"/>
    <n v="8"/>
    <n v="755.76"/>
    <x v="61"/>
    <x v="134"/>
    <x v="2"/>
    <n v="9.1"/>
    <s v="NO PARTICIPA"/>
  </r>
  <r>
    <n v="834259262"/>
    <x v="0"/>
    <x v="1"/>
    <x v="3"/>
    <n v="81.680000000000007"/>
    <n v="4"/>
    <n v="326.72000000000003"/>
    <x v="15"/>
    <x v="135"/>
    <x v="2"/>
    <n v="9.1"/>
    <s v="NO PARTICIPA"/>
  </r>
  <r>
    <n v="422298786"/>
    <x v="2"/>
    <x v="1"/>
    <x v="5"/>
    <n v="67.09"/>
    <n v="5"/>
    <n v="335.45000000000005"/>
    <x v="29"/>
    <x v="10"/>
    <x v="0"/>
    <n v="9.1"/>
    <s v="NO PARTICIPA"/>
  </r>
  <r>
    <n v="470329057"/>
    <x v="2"/>
    <x v="0"/>
    <x v="4"/>
    <n v="51.34"/>
    <n v="5"/>
    <n v="256.70000000000005"/>
    <x v="8"/>
    <x v="136"/>
    <x v="0"/>
    <n v="9.1"/>
    <s v="PARTICIPA"/>
  </r>
  <r>
    <n v="573988548"/>
    <x v="0"/>
    <x v="0"/>
    <x v="3"/>
    <n v="31.9"/>
    <n v="1"/>
    <n v="31.9"/>
    <x v="45"/>
    <x v="113"/>
    <x v="1"/>
    <n v="9.1"/>
    <s v="PARTICIPA"/>
  </r>
  <r>
    <n v="460354390"/>
    <x v="2"/>
    <x v="1"/>
    <x v="5"/>
    <n v="30.68"/>
    <n v="3"/>
    <n v="92.039999999999992"/>
    <x v="16"/>
    <x v="137"/>
    <x v="1"/>
    <n v="9.1"/>
    <s v="NO PARTICIPA"/>
  </r>
  <r>
    <n v="135138269"/>
    <x v="0"/>
    <x v="0"/>
    <x v="4"/>
    <n v="78.88"/>
    <n v="2"/>
    <n v="157.76"/>
    <x v="37"/>
    <x v="138"/>
    <x v="2"/>
    <n v="9.1"/>
    <s v="PARTICIPA"/>
  </r>
  <r>
    <n v="760275490"/>
    <x v="1"/>
    <x v="1"/>
    <x v="3"/>
    <n v="15.62"/>
    <n v="8"/>
    <n v="124.96"/>
    <x v="18"/>
    <x v="139"/>
    <x v="1"/>
    <n v="9.1"/>
    <s v="NO PARTICIPA"/>
  </r>
  <r>
    <n v="786942700"/>
    <x v="2"/>
    <x v="0"/>
    <x v="4"/>
    <n v="80.62"/>
    <n v="6"/>
    <n v="483.72"/>
    <x v="69"/>
    <x v="93"/>
    <x v="2"/>
    <n v="9.1"/>
    <s v="PARTICIPA"/>
  </r>
  <r>
    <n v="870543162"/>
    <x v="2"/>
    <x v="1"/>
    <x v="0"/>
    <n v="32.25"/>
    <n v="5"/>
    <n v="161.25"/>
    <x v="41"/>
    <x v="140"/>
    <x v="2"/>
    <n v="9"/>
    <s v="NO PARTICIPA"/>
  </r>
  <r>
    <n v="782959291"/>
    <x v="2"/>
    <x v="0"/>
    <x v="4"/>
    <n v="92.29"/>
    <n v="5"/>
    <n v="461.45000000000005"/>
    <x v="3"/>
    <x v="141"/>
    <x v="0"/>
    <n v="9"/>
    <s v="PARTICIPA"/>
  </r>
  <r>
    <n v="110487033"/>
    <x v="1"/>
    <x v="0"/>
    <x v="3"/>
    <n v="32.619999999999997"/>
    <n v="4"/>
    <n v="130.47999999999999"/>
    <x v="70"/>
    <x v="142"/>
    <x v="2"/>
    <n v="9"/>
    <s v="PARTICIPA"/>
  </r>
  <r>
    <n v="751690068"/>
    <x v="0"/>
    <x v="1"/>
    <x v="0"/>
    <n v="99.24"/>
    <n v="9"/>
    <n v="893.16"/>
    <x v="12"/>
    <x v="143"/>
    <x v="1"/>
    <n v="9"/>
    <s v="NO PARTICIPA"/>
  </r>
  <r>
    <n v="620022046"/>
    <x v="0"/>
    <x v="1"/>
    <x v="5"/>
    <n v="69.400000000000006"/>
    <n v="2"/>
    <n v="138.80000000000001"/>
    <x v="41"/>
    <x v="54"/>
    <x v="1"/>
    <n v="9"/>
    <s v="NO PARTICIPA"/>
  </r>
  <r>
    <n v="286626248"/>
    <x v="1"/>
    <x v="1"/>
    <x v="3"/>
    <n v="39.21"/>
    <n v="4"/>
    <n v="156.84"/>
    <x v="71"/>
    <x v="144"/>
    <x v="0"/>
    <n v="9"/>
    <s v="NO PARTICIPA"/>
  </r>
  <r>
    <n v="514372845"/>
    <x v="1"/>
    <x v="1"/>
    <x v="3"/>
    <n v="99.25"/>
    <n v="2"/>
    <n v="198.5"/>
    <x v="26"/>
    <x v="145"/>
    <x v="2"/>
    <n v="9"/>
    <s v="NO PARTICIPA"/>
  </r>
  <r>
    <n v="284544231"/>
    <x v="1"/>
    <x v="0"/>
    <x v="0"/>
    <n v="80.930000000000007"/>
    <n v="1"/>
    <n v="80.930000000000007"/>
    <x v="21"/>
    <x v="146"/>
    <x v="0"/>
    <n v="9"/>
    <s v="PARTICIPA"/>
  </r>
  <r>
    <n v="137635492"/>
    <x v="1"/>
    <x v="1"/>
    <x v="2"/>
    <n v="58.76"/>
    <n v="10"/>
    <n v="587.6"/>
    <x v="70"/>
    <x v="147"/>
    <x v="1"/>
    <n v="9"/>
    <s v="NO PARTICIPA"/>
  </r>
  <r>
    <n v="314234520"/>
    <x v="1"/>
    <x v="0"/>
    <x v="1"/>
    <n v="81.23"/>
    <n v="7"/>
    <n v="568.61"/>
    <x v="38"/>
    <x v="148"/>
    <x v="2"/>
    <n v="9"/>
    <s v="PARTICIPA"/>
  </r>
  <r>
    <n v="404915964"/>
    <x v="2"/>
    <x v="1"/>
    <x v="2"/>
    <n v="74.58"/>
    <n v="7"/>
    <n v="522.05999999999995"/>
    <x v="22"/>
    <x v="149"/>
    <x v="0"/>
    <n v="9"/>
    <s v="NO PARTICIPA"/>
  </r>
  <r>
    <n v="257607754"/>
    <x v="2"/>
    <x v="1"/>
    <x v="2"/>
    <n v="50.23"/>
    <n v="4"/>
    <n v="200.92"/>
    <x v="72"/>
    <x v="150"/>
    <x v="2"/>
    <n v="9"/>
    <s v="NO PARTICIPA"/>
  </r>
  <r>
    <n v="226340034"/>
    <x v="0"/>
    <x v="1"/>
    <x v="2"/>
    <n v="13.78"/>
    <n v="4"/>
    <n v="55.12"/>
    <x v="73"/>
    <x v="151"/>
    <x v="1"/>
    <n v="9"/>
    <s v="NO PARTICIPA"/>
  </r>
  <r>
    <n v="214302776"/>
    <x v="0"/>
    <x v="0"/>
    <x v="2"/>
    <n v="34.49"/>
    <n v="5"/>
    <n v="172.45000000000002"/>
    <x v="64"/>
    <x v="32"/>
    <x v="0"/>
    <n v="9"/>
    <s v="PARTICIPA"/>
  </r>
  <r>
    <n v="746041077"/>
    <x v="0"/>
    <x v="0"/>
    <x v="4"/>
    <n v="84.63"/>
    <n v="10"/>
    <n v="846.3"/>
    <x v="74"/>
    <x v="152"/>
    <x v="0"/>
    <n v="9"/>
    <s v="PARTICIPA"/>
  </r>
  <r>
    <n v="704116354"/>
    <x v="2"/>
    <x v="0"/>
    <x v="5"/>
    <n v="58.9"/>
    <n v="8"/>
    <n v="471.2"/>
    <x v="15"/>
    <x v="153"/>
    <x v="2"/>
    <n v="8.9"/>
    <s v="PARTICIPA"/>
  </r>
  <r>
    <n v="374173652"/>
    <x v="1"/>
    <x v="0"/>
    <x v="4"/>
    <n v="42.82"/>
    <n v="9"/>
    <n v="385.38"/>
    <x v="36"/>
    <x v="154"/>
    <x v="0"/>
    <n v="8.9"/>
    <s v="PARTICIPA"/>
  </r>
  <r>
    <n v="433756987"/>
    <x v="1"/>
    <x v="0"/>
    <x v="1"/>
    <n v="55.97"/>
    <n v="7"/>
    <n v="391.78999999999996"/>
    <x v="58"/>
    <x v="155"/>
    <x v="1"/>
    <n v="8.9"/>
    <s v="PARTICIPA"/>
  </r>
  <r>
    <n v="382258917"/>
    <x v="0"/>
    <x v="1"/>
    <x v="3"/>
    <n v="42.08"/>
    <n v="6"/>
    <n v="252.48"/>
    <x v="70"/>
    <x v="156"/>
    <x v="2"/>
    <n v="8.9"/>
    <s v="NO PARTICIPA"/>
  </r>
  <r>
    <n v="269108440"/>
    <x v="2"/>
    <x v="0"/>
    <x v="1"/>
    <n v="53.17"/>
    <n v="7"/>
    <n v="372.19"/>
    <x v="75"/>
    <x v="157"/>
    <x v="2"/>
    <n v="8.9"/>
    <s v="PARTICIPA"/>
  </r>
  <r>
    <n v="235468343"/>
    <x v="0"/>
    <x v="0"/>
    <x v="4"/>
    <n v="27.66"/>
    <n v="10"/>
    <n v="276.60000000000002"/>
    <x v="67"/>
    <x v="158"/>
    <x v="0"/>
    <n v="8.9"/>
    <s v="PARTICIPA"/>
  </r>
  <r>
    <n v="401188016"/>
    <x v="1"/>
    <x v="0"/>
    <x v="0"/>
    <n v="98.13"/>
    <n v="1"/>
    <n v="98.13"/>
    <x v="75"/>
    <x v="159"/>
    <x v="2"/>
    <n v="8.9"/>
    <s v="PARTICIPA"/>
  </r>
  <r>
    <n v="647501224"/>
    <x v="2"/>
    <x v="1"/>
    <x v="3"/>
    <n v="29.42"/>
    <n v="10"/>
    <n v="294.20000000000005"/>
    <x v="76"/>
    <x v="160"/>
    <x v="1"/>
    <n v="8.9"/>
    <s v="NO PARTICIPA"/>
  </r>
  <r>
    <n v="582528065"/>
    <x v="1"/>
    <x v="1"/>
    <x v="3"/>
    <n v="54.31"/>
    <n v="9"/>
    <n v="488.79"/>
    <x v="46"/>
    <x v="161"/>
    <x v="2"/>
    <n v="8.9"/>
    <s v="NO PARTICIPA"/>
  </r>
  <r>
    <n v="349978902"/>
    <x v="0"/>
    <x v="0"/>
    <x v="4"/>
    <n v="57.89"/>
    <n v="2"/>
    <n v="115.78"/>
    <x v="40"/>
    <x v="162"/>
    <x v="1"/>
    <n v="8.9"/>
    <s v="PARTICIPA"/>
  </r>
  <r>
    <n v="186799562"/>
    <x v="0"/>
    <x v="1"/>
    <x v="1"/>
    <n v="71.77"/>
    <n v="7"/>
    <n v="502.39"/>
    <x v="24"/>
    <x v="163"/>
    <x v="2"/>
    <n v="8.9"/>
    <s v="NO PARTICIPA"/>
  </r>
  <r>
    <n v="174640215"/>
    <x v="0"/>
    <x v="1"/>
    <x v="0"/>
    <n v="69.739999999999995"/>
    <n v="10"/>
    <n v="697.4"/>
    <x v="58"/>
    <x v="164"/>
    <x v="0"/>
    <n v="8.9"/>
    <s v="NO PARTICIPA"/>
  </r>
  <r>
    <n v="438231242"/>
    <x v="0"/>
    <x v="1"/>
    <x v="2"/>
    <n v="75.88"/>
    <n v="7"/>
    <n v="531.16"/>
    <x v="77"/>
    <x v="165"/>
    <x v="1"/>
    <n v="8.9"/>
    <s v="NO PARTICIPA"/>
  </r>
  <r>
    <n v="549239016"/>
    <x v="1"/>
    <x v="0"/>
    <x v="4"/>
    <n v="14.87"/>
    <n v="2"/>
    <n v="29.74"/>
    <x v="59"/>
    <x v="166"/>
    <x v="0"/>
    <n v="8.9"/>
    <s v="NO PARTICIPA"/>
  </r>
  <r>
    <n v="811351094"/>
    <x v="0"/>
    <x v="0"/>
    <x v="2"/>
    <n v="50.45"/>
    <n v="6"/>
    <n v="302.70000000000005"/>
    <x v="78"/>
    <x v="167"/>
    <x v="0"/>
    <n v="8.9"/>
    <s v="PARTICIPA"/>
  </r>
  <r>
    <n v="365164334"/>
    <x v="0"/>
    <x v="1"/>
    <x v="4"/>
    <n v="26.43"/>
    <n v="8"/>
    <n v="211.44"/>
    <x v="79"/>
    <x v="147"/>
    <x v="1"/>
    <n v="8.9"/>
    <s v="NO PARTICIPA"/>
  </r>
  <r>
    <n v="590834591"/>
    <x v="1"/>
    <x v="0"/>
    <x v="2"/>
    <n v="87.45"/>
    <n v="6"/>
    <n v="524.70000000000005"/>
    <x v="5"/>
    <x v="168"/>
    <x v="0"/>
    <n v="8.8000000000000007"/>
    <s v="PARTICIPA"/>
  </r>
  <r>
    <n v="700811757"/>
    <x v="2"/>
    <x v="1"/>
    <x v="2"/>
    <n v="26.31"/>
    <n v="5"/>
    <n v="131.54999999999998"/>
    <x v="19"/>
    <x v="169"/>
    <x v="0"/>
    <n v="8.8000000000000007"/>
    <s v="NO PARTICIPA"/>
  </r>
  <r>
    <n v="827262100"/>
    <x v="2"/>
    <x v="0"/>
    <x v="5"/>
    <n v="33.840000000000003"/>
    <n v="9"/>
    <n v="304.56000000000006"/>
    <x v="23"/>
    <x v="170"/>
    <x v="1"/>
    <n v="8.8000000000000007"/>
    <s v="PARTICIPA"/>
  </r>
  <r>
    <n v="677110152"/>
    <x v="0"/>
    <x v="1"/>
    <x v="4"/>
    <n v="93.26"/>
    <n v="9"/>
    <n v="839.34"/>
    <x v="71"/>
    <x v="52"/>
    <x v="2"/>
    <n v="8.8000000000000007"/>
    <s v="NO PARTICIPA"/>
  </r>
  <r>
    <n v="799711548"/>
    <x v="2"/>
    <x v="0"/>
    <x v="2"/>
    <n v="77.72"/>
    <n v="4"/>
    <n v="310.88"/>
    <x v="6"/>
    <x v="171"/>
    <x v="0"/>
    <n v="8.8000000000000007"/>
    <s v="PARTICIPA"/>
  </r>
  <r>
    <n v="126541082"/>
    <x v="2"/>
    <x v="0"/>
    <x v="5"/>
    <n v="21.54"/>
    <n v="9"/>
    <n v="193.85999999999999"/>
    <x v="6"/>
    <x v="172"/>
    <x v="0"/>
    <n v="8.8000000000000007"/>
    <s v="PARTICIPA"/>
  </r>
  <r>
    <n v="689051884"/>
    <x v="2"/>
    <x v="0"/>
    <x v="1"/>
    <n v="48.63"/>
    <n v="10"/>
    <n v="486.3"/>
    <x v="80"/>
    <x v="173"/>
    <x v="2"/>
    <n v="8.8000000000000007"/>
    <s v="PARTICIPA"/>
  </r>
  <r>
    <n v="451732711"/>
    <x v="1"/>
    <x v="1"/>
    <x v="4"/>
    <n v="84.83"/>
    <n v="1"/>
    <n v="84.83"/>
    <x v="14"/>
    <x v="174"/>
    <x v="1"/>
    <n v="8.8000000000000007"/>
    <s v="NO PARTICIPA"/>
  </r>
  <r>
    <n v="373140504"/>
    <x v="2"/>
    <x v="0"/>
    <x v="0"/>
    <n v="71.63"/>
    <n v="2"/>
    <n v="143.26"/>
    <x v="17"/>
    <x v="175"/>
    <x v="1"/>
    <n v="8.8000000000000007"/>
    <s v="PARTICIPA"/>
  </r>
  <r>
    <n v="468997231"/>
    <x v="1"/>
    <x v="1"/>
    <x v="5"/>
    <n v="44.01"/>
    <n v="8"/>
    <n v="352.08"/>
    <x v="43"/>
    <x v="159"/>
    <x v="2"/>
    <n v="8.8000000000000007"/>
    <s v="NO PARTICIPA"/>
  </r>
  <r>
    <n v="160222687"/>
    <x v="2"/>
    <x v="0"/>
    <x v="1"/>
    <n v="95.95"/>
    <n v="5"/>
    <n v="479.75"/>
    <x v="23"/>
    <x v="131"/>
    <x v="1"/>
    <n v="8.8000000000000007"/>
    <s v="PARTICIPA"/>
  </r>
  <r>
    <n v="409496995"/>
    <x v="1"/>
    <x v="0"/>
    <x v="4"/>
    <n v="47.27"/>
    <n v="6"/>
    <n v="283.62"/>
    <x v="31"/>
    <x v="133"/>
    <x v="2"/>
    <n v="8.8000000000000007"/>
    <s v="PARTICIPA"/>
  </r>
  <r>
    <n v="450423339"/>
    <x v="1"/>
    <x v="1"/>
    <x v="1"/>
    <n v="84.61"/>
    <n v="10"/>
    <n v="846.1"/>
    <x v="81"/>
    <x v="176"/>
    <x v="0"/>
    <n v="8.8000000000000007"/>
    <s v="NO PARTICIPA"/>
  </r>
  <r>
    <n v="745740715"/>
    <x v="2"/>
    <x v="1"/>
    <x v="2"/>
    <n v="58.03"/>
    <n v="2"/>
    <n v="116.06"/>
    <x v="82"/>
    <x v="177"/>
    <x v="1"/>
    <n v="8.8000000000000007"/>
    <s v="NO PARTICIPA"/>
  </r>
  <r>
    <n v="841356630"/>
    <x v="0"/>
    <x v="1"/>
    <x v="2"/>
    <n v="75.91"/>
    <n v="6"/>
    <n v="455.46"/>
    <x v="25"/>
    <x v="178"/>
    <x v="2"/>
    <n v="8.6999999999999993"/>
    <s v="NO PARTICIPA"/>
  </r>
  <r>
    <n v="687478271"/>
    <x v="2"/>
    <x v="1"/>
    <x v="3"/>
    <n v="98.98"/>
    <n v="10"/>
    <n v="989.80000000000007"/>
    <x v="83"/>
    <x v="179"/>
    <x v="0"/>
    <n v="8.6999999999999993"/>
    <s v="NO PARTICIPA"/>
  </r>
  <r>
    <n v="414127047"/>
    <x v="1"/>
    <x v="1"/>
    <x v="4"/>
    <n v="19.79"/>
    <n v="8"/>
    <n v="158.32"/>
    <x v="19"/>
    <x v="180"/>
    <x v="1"/>
    <n v="8.6999999999999993"/>
    <s v="NO PARTICIPA"/>
  </r>
  <r>
    <n v="875465808"/>
    <x v="1"/>
    <x v="0"/>
    <x v="1"/>
    <n v="25.9"/>
    <n v="10"/>
    <n v="259"/>
    <x v="54"/>
    <x v="46"/>
    <x v="1"/>
    <n v="8.6999999999999993"/>
    <s v="PARTICIPA"/>
  </r>
  <r>
    <n v="549039315"/>
    <x v="1"/>
    <x v="1"/>
    <x v="3"/>
    <n v="94.87"/>
    <n v="8"/>
    <n v="758.96"/>
    <x v="84"/>
    <x v="74"/>
    <x v="1"/>
    <n v="8.6999999999999993"/>
    <s v="NO PARTICIPA"/>
  </r>
  <r>
    <n v="545463100"/>
    <x v="1"/>
    <x v="0"/>
    <x v="2"/>
    <n v="10.59"/>
    <n v="3"/>
    <n v="31.77"/>
    <x v="59"/>
    <x v="181"/>
    <x v="0"/>
    <n v="8.6999999999999993"/>
    <s v="PARTICIPA"/>
  </r>
  <r>
    <n v="729099681"/>
    <x v="2"/>
    <x v="0"/>
    <x v="5"/>
    <n v="25.91"/>
    <n v="6"/>
    <n v="155.46"/>
    <x v="36"/>
    <x v="101"/>
    <x v="1"/>
    <n v="8.6999999999999993"/>
    <s v="PARTICIPA"/>
  </r>
  <r>
    <n v="253126086"/>
    <x v="2"/>
    <x v="0"/>
    <x v="0"/>
    <n v="98.4"/>
    <n v="7"/>
    <n v="688.80000000000007"/>
    <x v="59"/>
    <x v="182"/>
    <x v="0"/>
    <n v="8.6999999999999993"/>
    <s v="PARTICIPA"/>
  </r>
  <r>
    <n v="743881662"/>
    <x v="0"/>
    <x v="1"/>
    <x v="0"/>
    <n v="95.49"/>
    <n v="7"/>
    <n v="668.43"/>
    <x v="46"/>
    <x v="183"/>
    <x v="1"/>
    <n v="8.6999999999999993"/>
    <s v="NO PARTICIPA"/>
  </r>
  <r>
    <n v="750579686"/>
    <x v="0"/>
    <x v="1"/>
    <x v="5"/>
    <n v="45.38"/>
    <n v="4"/>
    <n v="181.52"/>
    <x v="51"/>
    <x v="184"/>
    <x v="0"/>
    <n v="8.6999999999999993"/>
    <s v="NO PARTICIPA"/>
  </r>
  <r>
    <n v="271888734"/>
    <x v="0"/>
    <x v="0"/>
    <x v="3"/>
    <n v="97.21"/>
    <n v="10"/>
    <n v="972.09999999999991"/>
    <x v="83"/>
    <x v="185"/>
    <x v="0"/>
    <n v="8.6999999999999993"/>
    <s v="PARTICIPA"/>
  </r>
  <r>
    <n v="234034040"/>
    <x v="1"/>
    <x v="0"/>
    <x v="4"/>
    <n v="73.05"/>
    <n v="10"/>
    <n v="730.5"/>
    <x v="43"/>
    <x v="156"/>
    <x v="0"/>
    <n v="8.6999999999999993"/>
    <s v="PARTICIPA"/>
  </r>
  <r>
    <n v="608043797"/>
    <x v="1"/>
    <x v="0"/>
    <x v="1"/>
    <n v="25.32"/>
    <n v="8"/>
    <n v="202.56"/>
    <x v="58"/>
    <x v="36"/>
    <x v="1"/>
    <n v="8.6999999999999993"/>
    <s v="PARTICIPA"/>
  </r>
  <r>
    <n v="521187827"/>
    <x v="0"/>
    <x v="0"/>
    <x v="5"/>
    <n v="39.39"/>
    <n v="5"/>
    <n v="196.95"/>
    <x v="16"/>
    <x v="177"/>
    <x v="0"/>
    <n v="8.6999999999999993"/>
    <s v="PARTICIPA"/>
  </r>
  <r>
    <n v="470313286"/>
    <x v="1"/>
    <x v="1"/>
    <x v="1"/>
    <n v="14.82"/>
    <n v="3"/>
    <n v="44.46"/>
    <x v="29"/>
    <x v="12"/>
    <x v="0"/>
    <n v="8.6999999999999993"/>
    <s v="NO PARTICIPA"/>
  </r>
  <r>
    <n v="816572053"/>
    <x v="2"/>
    <x v="1"/>
    <x v="0"/>
    <n v="60.87"/>
    <n v="2"/>
    <n v="121.74"/>
    <x v="25"/>
    <x v="186"/>
    <x v="1"/>
    <n v="8.6999999999999993"/>
    <s v="NO PARTICIPA"/>
  </r>
  <r>
    <n v="706366154"/>
    <x v="2"/>
    <x v="0"/>
    <x v="5"/>
    <n v="19.36"/>
    <n v="9"/>
    <n v="174.24"/>
    <x v="19"/>
    <x v="187"/>
    <x v="1"/>
    <n v="8.6999999999999993"/>
    <s v="PARTICIPA"/>
  </r>
  <r>
    <n v="276756884"/>
    <x v="2"/>
    <x v="1"/>
    <x v="1"/>
    <n v="68.709999999999994"/>
    <n v="3"/>
    <n v="206.13"/>
    <x v="80"/>
    <x v="188"/>
    <x v="2"/>
    <n v="8.6999999999999993"/>
    <s v="NO PARTICIPA"/>
  </r>
  <r>
    <n v="777672495"/>
    <x v="0"/>
    <x v="1"/>
    <x v="5"/>
    <n v="68.97"/>
    <n v="3"/>
    <n v="206.91"/>
    <x v="46"/>
    <x v="158"/>
    <x v="1"/>
    <n v="8.6999999999999993"/>
    <s v="NO PARTICIPA"/>
  </r>
  <r>
    <n v="574801489"/>
    <x v="0"/>
    <x v="0"/>
    <x v="4"/>
    <n v="62.85"/>
    <n v="4"/>
    <n v="251.4"/>
    <x v="4"/>
    <x v="57"/>
    <x v="1"/>
    <n v="8.6999999999999993"/>
    <s v="PARTICIPA"/>
  </r>
  <r>
    <n v="329621586"/>
    <x v="2"/>
    <x v="1"/>
    <x v="4"/>
    <n v="54.67"/>
    <n v="3"/>
    <n v="164.01"/>
    <x v="75"/>
    <x v="68"/>
    <x v="0"/>
    <n v="8.6"/>
    <s v="NO PARTICIPA"/>
  </r>
  <r>
    <n v="199758169"/>
    <x v="2"/>
    <x v="0"/>
    <x v="0"/>
    <n v="15.81"/>
    <n v="10"/>
    <n v="158.1"/>
    <x v="85"/>
    <x v="189"/>
    <x v="0"/>
    <n v="8.6"/>
    <s v="PARTICIPA"/>
  </r>
  <r>
    <n v="263103913"/>
    <x v="0"/>
    <x v="0"/>
    <x v="3"/>
    <n v="49.04"/>
    <n v="9"/>
    <n v="441.36"/>
    <x v="86"/>
    <x v="190"/>
    <x v="0"/>
    <n v="8.6"/>
    <s v="PARTICIPA"/>
  </r>
  <r>
    <n v="152089985"/>
    <x v="1"/>
    <x v="0"/>
    <x v="1"/>
    <n v="64.36"/>
    <n v="9"/>
    <n v="579.24"/>
    <x v="59"/>
    <x v="14"/>
    <x v="0"/>
    <n v="8.6"/>
    <s v="PARTICIPA"/>
  </r>
  <r>
    <n v="755123214"/>
    <x v="0"/>
    <x v="0"/>
    <x v="3"/>
    <n v="44.22"/>
    <n v="5"/>
    <n v="221.1"/>
    <x v="58"/>
    <x v="191"/>
    <x v="0"/>
    <n v="8.6"/>
    <s v="PARTICIPA"/>
  </r>
  <r>
    <n v="396902219"/>
    <x v="1"/>
    <x v="1"/>
    <x v="2"/>
    <n v="14.96"/>
    <n v="8"/>
    <n v="119.68"/>
    <x v="66"/>
    <x v="192"/>
    <x v="2"/>
    <n v="8.6"/>
    <s v="NO PARTICIPA"/>
  </r>
  <r>
    <n v="719763868"/>
    <x v="0"/>
    <x v="0"/>
    <x v="4"/>
    <n v="94.26"/>
    <n v="4"/>
    <n v="377.04"/>
    <x v="59"/>
    <x v="193"/>
    <x v="2"/>
    <n v="8.6"/>
    <s v="PARTICIPA"/>
  </r>
  <r>
    <n v="399694630"/>
    <x v="0"/>
    <x v="1"/>
    <x v="2"/>
    <n v="22.21"/>
    <n v="6"/>
    <n v="133.26"/>
    <x v="32"/>
    <x v="7"/>
    <x v="0"/>
    <n v="8.6"/>
    <s v="NO PARTICIPA"/>
  </r>
  <r>
    <n v="343613544"/>
    <x v="1"/>
    <x v="0"/>
    <x v="0"/>
    <n v="26.67"/>
    <n v="10"/>
    <n v="266.70000000000005"/>
    <x v="70"/>
    <x v="194"/>
    <x v="2"/>
    <n v="8.6"/>
    <s v="PARTICIPA"/>
  </r>
  <r>
    <n v="550848664"/>
    <x v="2"/>
    <x v="1"/>
    <x v="0"/>
    <n v="85.91"/>
    <n v="5"/>
    <n v="429.54999999999995"/>
    <x v="66"/>
    <x v="175"/>
    <x v="0"/>
    <n v="8.6"/>
    <s v="NO PARTICIPA"/>
  </r>
  <r>
    <n v="830582383"/>
    <x v="0"/>
    <x v="1"/>
    <x v="5"/>
    <n v="31.75"/>
    <n v="4"/>
    <n v="127"/>
    <x v="52"/>
    <x v="154"/>
    <x v="2"/>
    <n v="8.6"/>
    <s v="NO PARTICIPA"/>
  </r>
  <r>
    <n v="390175806"/>
    <x v="1"/>
    <x v="0"/>
    <x v="4"/>
    <n v="38.42"/>
    <n v="1"/>
    <n v="38.42"/>
    <x v="13"/>
    <x v="195"/>
    <x v="2"/>
    <n v="8.6"/>
    <s v="PARTICIPA"/>
  </r>
  <r>
    <n v="585868361"/>
    <x v="2"/>
    <x v="1"/>
    <x v="4"/>
    <n v="27.28"/>
    <n v="5"/>
    <n v="136.4"/>
    <x v="1"/>
    <x v="196"/>
    <x v="0"/>
    <n v="8.6"/>
    <s v="NO PARTICIPA"/>
  </r>
  <r>
    <n v="559615987"/>
    <x v="0"/>
    <x v="1"/>
    <x v="1"/>
    <n v="17.75"/>
    <n v="1"/>
    <n v="17.75"/>
    <x v="14"/>
    <x v="165"/>
    <x v="2"/>
    <n v="8.6"/>
    <s v="NO PARTICIPA"/>
  </r>
  <r>
    <n v="862295914"/>
    <x v="1"/>
    <x v="1"/>
    <x v="0"/>
    <n v="22.38"/>
    <n v="1"/>
    <n v="22.38"/>
    <x v="60"/>
    <x v="197"/>
    <x v="0"/>
    <n v="8.6"/>
    <s v="NO PARTICIPA"/>
  </r>
  <r>
    <n v="761490439"/>
    <x v="0"/>
    <x v="0"/>
    <x v="2"/>
    <n v="12.1"/>
    <n v="8"/>
    <n v="96.8"/>
    <x v="21"/>
    <x v="133"/>
    <x v="1"/>
    <n v="8.6"/>
    <s v="PARTICIPA"/>
  </r>
  <r>
    <n v="607766216"/>
    <x v="1"/>
    <x v="0"/>
    <x v="3"/>
    <n v="92.49"/>
    <n v="5"/>
    <n v="462.45"/>
    <x v="1"/>
    <x v="198"/>
    <x v="0"/>
    <n v="8.6"/>
    <s v="PARTICIPA"/>
  </r>
  <r>
    <n v="151278496"/>
    <x v="1"/>
    <x v="1"/>
    <x v="2"/>
    <n v="56.13"/>
    <n v="4"/>
    <n v="224.52"/>
    <x v="21"/>
    <x v="199"/>
    <x v="1"/>
    <n v="8.6"/>
    <s v="NO PARTICIPA"/>
  </r>
  <r>
    <n v="227035010"/>
    <x v="2"/>
    <x v="0"/>
    <x v="5"/>
    <n v="52.59"/>
    <n v="8"/>
    <n v="420.72"/>
    <x v="66"/>
    <x v="200"/>
    <x v="0"/>
    <n v="8.5"/>
    <s v="PARTICIPA"/>
  </r>
  <r>
    <n v="162488011"/>
    <x v="2"/>
    <x v="0"/>
    <x v="4"/>
    <n v="44.59"/>
    <n v="5"/>
    <n v="222.95000000000002"/>
    <x v="11"/>
    <x v="201"/>
    <x v="2"/>
    <n v="8.5"/>
    <s v="PARTICIPA"/>
  </r>
  <r>
    <n v="663869076"/>
    <x v="0"/>
    <x v="0"/>
    <x v="4"/>
    <n v="68.540000000000006"/>
    <n v="8"/>
    <n v="548.32000000000005"/>
    <x v="51"/>
    <x v="202"/>
    <x v="1"/>
    <n v="8.5"/>
    <s v="PARTICIPA"/>
  </r>
  <r>
    <n v="105311824"/>
    <x v="2"/>
    <x v="0"/>
    <x v="0"/>
    <n v="69.52"/>
    <n v="7"/>
    <n v="486.64"/>
    <x v="50"/>
    <x v="201"/>
    <x v="0"/>
    <n v="8.5"/>
    <s v="PARTICIPA"/>
  </r>
  <r>
    <n v="560305617"/>
    <x v="1"/>
    <x v="1"/>
    <x v="0"/>
    <n v="24.77"/>
    <n v="5"/>
    <n v="123.85"/>
    <x v="48"/>
    <x v="203"/>
    <x v="2"/>
    <n v="8.5"/>
    <s v="NO PARTICIPA"/>
  </r>
  <r>
    <n v="667920055"/>
    <x v="2"/>
    <x v="0"/>
    <x v="1"/>
    <n v="99.83"/>
    <n v="6"/>
    <n v="598.98"/>
    <x v="87"/>
    <x v="204"/>
    <x v="1"/>
    <n v="8.5"/>
    <s v="PARTICIPA"/>
  </r>
  <r>
    <n v="835160096"/>
    <x v="0"/>
    <x v="0"/>
    <x v="0"/>
    <n v="14.7"/>
    <n v="5"/>
    <n v="73.5"/>
    <x v="48"/>
    <x v="184"/>
    <x v="1"/>
    <n v="8.5"/>
    <s v="PARTICIPA"/>
  </r>
  <r>
    <n v="115994379"/>
    <x v="1"/>
    <x v="0"/>
    <x v="3"/>
    <n v="54.73"/>
    <n v="7"/>
    <n v="383.10999999999996"/>
    <x v="62"/>
    <x v="205"/>
    <x v="0"/>
    <n v="8.5"/>
    <s v="PARTICIPA"/>
  </r>
  <r>
    <n v="556977101"/>
    <x v="0"/>
    <x v="1"/>
    <x v="2"/>
    <n v="63.22"/>
    <n v="2"/>
    <n v="126.44"/>
    <x v="74"/>
    <x v="206"/>
    <x v="2"/>
    <n v="8.5"/>
    <s v="NO PARTICIPA"/>
  </r>
  <r>
    <n v="413206708"/>
    <x v="0"/>
    <x v="0"/>
    <x v="3"/>
    <n v="51.47"/>
    <n v="1"/>
    <n v="51.47"/>
    <x v="30"/>
    <x v="207"/>
    <x v="1"/>
    <n v="8.5"/>
    <s v="PARTICIPA"/>
  </r>
  <r>
    <n v="641963695"/>
    <x v="1"/>
    <x v="0"/>
    <x v="3"/>
    <n v="43.46"/>
    <n v="6"/>
    <n v="260.76"/>
    <x v="9"/>
    <x v="208"/>
    <x v="1"/>
    <n v="8.5"/>
    <s v="PARTICIPA"/>
  </r>
  <r>
    <n v="364338584"/>
    <x v="0"/>
    <x v="0"/>
    <x v="4"/>
    <n v="17.63"/>
    <n v="5"/>
    <n v="88.149999999999991"/>
    <x v="42"/>
    <x v="209"/>
    <x v="2"/>
    <n v="8.5"/>
    <s v="PARTICIPA"/>
  </r>
  <r>
    <n v="735329839"/>
    <x v="1"/>
    <x v="0"/>
    <x v="3"/>
    <n v="98.7"/>
    <n v="8"/>
    <n v="789.6"/>
    <x v="35"/>
    <x v="210"/>
    <x v="1"/>
    <n v="8.5"/>
    <s v="PARTICIPA"/>
  </r>
  <r>
    <n v="733291227"/>
    <x v="1"/>
    <x v="1"/>
    <x v="5"/>
    <n v="55.61"/>
    <n v="7"/>
    <n v="389.27"/>
    <x v="53"/>
    <x v="211"/>
    <x v="2"/>
    <n v="8.5"/>
    <s v="NO PARTICIPA"/>
  </r>
  <r>
    <n v="618348551"/>
    <x v="2"/>
    <x v="1"/>
    <x v="0"/>
    <n v="93.18"/>
    <n v="2"/>
    <n v="186.36"/>
    <x v="71"/>
    <x v="212"/>
    <x v="0"/>
    <n v="8.5"/>
    <s v="NO PARTICIPA"/>
  </r>
  <r>
    <n v="760539233"/>
    <x v="2"/>
    <x v="0"/>
    <x v="3"/>
    <n v="41.28"/>
    <n v="3"/>
    <n v="123.84"/>
    <x v="47"/>
    <x v="83"/>
    <x v="0"/>
    <n v="8.5"/>
    <s v="PARTICIPA"/>
  </r>
  <r>
    <n v="221255073"/>
    <x v="2"/>
    <x v="1"/>
    <x v="4"/>
    <n v="74.66"/>
    <n v="4"/>
    <n v="298.64"/>
    <x v="80"/>
    <x v="213"/>
    <x v="2"/>
    <n v="8.5"/>
    <s v="NO PARTICIPA"/>
  </r>
  <r>
    <n v="374385555"/>
    <x v="0"/>
    <x v="1"/>
    <x v="3"/>
    <n v="63.71"/>
    <n v="5"/>
    <n v="318.55"/>
    <x v="9"/>
    <x v="214"/>
    <x v="1"/>
    <n v="8.5"/>
    <s v="NO PARTICIPA"/>
  </r>
  <r>
    <n v="123191176"/>
    <x v="2"/>
    <x v="0"/>
    <x v="1"/>
    <n v="58.22"/>
    <n v="8"/>
    <n v="465.76"/>
    <x v="41"/>
    <x v="215"/>
    <x v="1"/>
    <n v="8.4"/>
    <s v="PARTICIPA"/>
  </r>
  <r>
    <n v="370417321"/>
    <x v="1"/>
    <x v="0"/>
    <x v="1"/>
    <n v="56.69"/>
    <n v="9"/>
    <n v="510.21"/>
    <x v="61"/>
    <x v="216"/>
    <x v="0"/>
    <n v="8.4"/>
    <s v="PARTICIPA"/>
  </r>
  <r>
    <n v="227781148"/>
    <x v="1"/>
    <x v="1"/>
    <x v="3"/>
    <n v="72.84"/>
    <n v="7"/>
    <n v="509.88"/>
    <x v="0"/>
    <x v="173"/>
    <x v="2"/>
    <n v="8.4"/>
    <s v="NO PARTICIPA"/>
  </r>
  <r>
    <n v="488254221"/>
    <x v="0"/>
    <x v="0"/>
    <x v="4"/>
    <n v="30.41"/>
    <n v="1"/>
    <n v="30.41"/>
    <x v="46"/>
    <x v="210"/>
    <x v="0"/>
    <n v="8.4"/>
    <s v="PARTICIPA"/>
  </r>
  <r>
    <n v="662475456"/>
    <x v="0"/>
    <x v="0"/>
    <x v="3"/>
    <n v="35.19"/>
    <n v="10"/>
    <n v="351.9"/>
    <x v="88"/>
    <x v="155"/>
    <x v="0"/>
    <n v="8.4"/>
    <s v="PARTICIPA"/>
  </r>
  <r>
    <n v="787151757"/>
    <x v="0"/>
    <x v="0"/>
    <x v="1"/>
    <n v="44.07"/>
    <n v="4"/>
    <n v="176.28"/>
    <x v="20"/>
    <x v="217"/>
    <x v="1"/>
    <n v="8.4"/>
    <s v="PARTICIPA"/>
  </r>
  <r>
    <n v="622201945"/>
    <x v="0"/>
    <x v="1"/>
    <x v="1"/>
    <n v="39.42"/>
    <n v="1"/>
    <n v="39.42"/>
    <x v="19"/>
    <x v="218"/>
    <x v="2"/>
    <n v="8.4"/>
    <s v="NO PARTICIPA"/>
  </r>
  <r>
    <n v="320496392"/>
    <x v="0"/>
    <x v="1"/>
    <x v="2"/>
    <n v="30.24"/>
    <n v="1"/>
    <n v="30.24"/>
    <x v="87"/>
    <x v="219"/>
    <x v="2"/>
    <n v="8.4"/>
    <s v="NO PARTICIPA"/>
  </r>
  <r>
    <n v="233340817"/>
    <x v="0"/>
    <x v="0"/>
    <x v="2"/>
    <n v="98.84"/>
    <n v="1"/>
    <n v="98.84"/>
    <x v="0"/>
    <x v="220"/>
    <x v="2"/>
    <n v="8.4"/>
    <s v="PARTICIPA"/>
  </r>
  <r>
    <n v="541083113"/>
    <x v="0"/>
    <x v="1"/>
    <x v="4"/>
    <n v="65.97"/>
    <n v="8"/>
    <n v="527.76"/>
    <x v="13"/>
    <x v="66"/>
    <x v="2"/>
    <n v="8.4"/>
    <s v="NO PARTICIPA"/>
  </r>
  <r>
    <n v="148822527"/>
    <x v="0"/>
    <x v="0"/>
    <x v="5"/>
    <n v="12.12"/>
    <n v="10"/>
    <n v="121.19999999999999"/>
    <x v="58"/>
    <x v="221"/>
    <x v="0"/>
    <n v="8.4"/>
    <s v="PARTICIPA"/>
  </r>
  <r>
    <n v="236271144"/>
    <x v="0"/>
    <x v="1"/>
    <x v="4"/>
    <n v="16.309999999999999"/>
    <n v="9"/>
    <n v="146.79"/>
    <x v="47"/>
    <x v="196"/>
    <x v="1"/>
    <n v="8.4"/>
    <s v="NO PARTICIPA"/>
  </r>
  <r>
    <n v="443820585"/>
    <x v="2"/>
    <x v="0"/>
    <x v="1"/>
    <n v="77.680000000000007"/>
    <n v="4"/>
    <n v="310.72000000000003"/>
    <x v="50"/>
    <x v="222"/>
    <x v="2"/>
    <n v="8.4"/>
    <s v="PARTICIPA"/>
  </r>
  <r>
    <n v="775721988"/>
    <x v="0"/>
    <x v="1"/>
    <x v="5"/>
    <n v="73.28"/>
    <n v="5"/>
    <n v="366.4"/>
    <x v="77"/>
    <x v="223"/>
    <x v="1"/>
    <n v="8.4"/>
    <s v="NO PARTICIPA"/>
  </r>
  <r>
    <n v="869113082"/>
    <x v="0"/>
    <x v="0"/>
    <x v="1"/>
    <n v="96.16"/>
    <n v="4"/>
    <n v="384.64"/>
    <x v="41"/>
    <x v="144"/>
    <x v="0"/>
    <n v="8.4"/>
    <s v="PARTICIPA"/>
  </r>
  <r>
    <n v="384596655"/>
    <x v="2"/>
    <x v="0"/>
    <x v="4"/>
    <n v="98.66"/>
    <n v="9"/>
    <n v="887.93999999999994"/>
    <x v="68"/>
    <x v="224"/>
    <x v="2"/>
    <n v="8.4"/>
    <s v="PARTICIPA"/>
  </r>
  <r>
    <n v="809461866"/>
    <x v="2"/>
    <x v="1"/>
    <x v="1"/>
    <n v="58.15"/>
    <n v="4"/>
    <n v="232.6"/>
    <x v="23"/>
    <x v="225"/>
    <x v="2"/>
    <n v="8.4"/>
    <s v="NO PARTICIPA"/>
  </r>
  <r>
    <n v="430534718"/>
    <x v="0"/>
    <x v="0"/>
    <x v="1"/>
    <n v="75.37"/>
    <n v="8"/>
    <n v="602.96"/>
    <x v="10"/>
    <x v="226"/>
    <x v="0"/>
    <n v="8.4"/>
    <s v="PARTICIPA"/>
  </r>
  <r>
    <n v="787560757"/>
    <x v="0"/>
    <x v="0"/>
    <x v="4"/>
    <n v="80.36"/>
    <n v="4"/>
    <n v="321.44"/>
    <x v="66"/>
    <x v="38"/>
    <x v="0"/>
    <n v="8.3000000000000007"/>
    <s v="PARTICIPA"/>
  </r>
  <r>
    <n v="802705316"/>
    <x v="2"/>
    <x v="0"/>
    <x v="0"/>
    <n v="92.13"/>
    <n v="6"/>
    <n v="552.78"/>
    <x v="85"/>
    <x v="227"/>
    <x v="2"/>
    <n v="8.3000000000000007"/>
    <s v="PARTICIPA"/>
  </r>
  <r>
    <n v="894415205"/>
    <x v="0"/>
    <x v="1"/>
    <x v="4"/>
    <n v="43.18"/>
    <n v="8"/>
    <n v="345.44"/>
    <x v="21"/>
    <x v="228"/>
    <x v="0"/>
    <n v="8.3000000000000007"/>
    <s v="NO PARTICIPA"/>
  </r>
  <r>
    <n v="802438934"/>
    <x v="2"/>
    <x v="1"/>
    <x v="5"/>
    <n v="18.28"/>
    <n v="1"/>
    <n v="18.28"/>
    <x v="66"/>
    <x v="223"/>
    <x v="0"/>
    <n v="8.3000000000000007"/>
    <s v="NO PARTICIPA"/>
  </r>
  <r>
    <n v="376028238"/>
    <x v="1"/>
    <x v="1"/>
    <x v="5"/>
    <n v="93.87"/>
    <n v="8"/>
    <n v="750.96"/>
    <x v="13"/>
    <x v="229"/>
    <x v="0"/>
    <n v="8.3000000000000007"/>
    <s v="NO PARTICIPA"/>
  </r>
  <r>
    <n v="793103222"/>
    <x v="1"/>
    <x v="0"/>
    <x v="1"/>
    <n v="41.06"/>
    <n v="6"/>
    <n v="246.36"/>
    <x v="58"/>
    <x v="80"/>
    <x v="0"/>
    <n v="8.3000000000000007"/>
    <s v="PARTICIPA"/>
  </r>
  <r>
    <n v="848071692"/>
    <x v="1"/>
    <x v="1"/>
    <x v="1"/>
    <n v="57.22"/>
    <n v="2"/>
    <n v="114.44"/>
    <x v="76"/>
    <x v="230"/>
    <x v="1"/>
    <n v="8.3000000000000007"/>
    <s v="NO PARTICIPA"/>
  </r>
  <r>
    <n v="795497276"/>
    <x v="2"/>
    <x v="1"/>
    <x v="3"/>
    <n v="37.15"/>
    <n v="4"/>
    <n v="148.6"/>
    <x v="53"/>
    <x v="231"/>
    <x v="1"/>
    <n v="8.3000000000000007"/>
    <s v="NO PARTICIPA"/>
  </r>
  <r>
    <n v="239484278"/>
    <x v="2"/>
    <x v="0"/>
    <x v="4"/>
    <n v="10.130000000000001"/>
    <n v="7"/>
    <n v="70.910000000000011"/>
    <x v="82"/>
    <x v="232"/>
    <x v="1"/>
    <n v="8.3000000000000007"/>
    <s v="PARTICIPA"/>
  </r>
  <r>
    <n v="728887867"/>
    <x v="1"/>
    <x v="0"/>
    <x v="5"/>
    <n v="75.53"/>
    <n v="4"/>
    <n v="302.12"/>
    <x v="12"/>
    <x v="207"/>
    <x v="1"/>
    <n v="8.3000000000000007"/>
    <s v="PARTICIPA"/>
  </r>
  <r>
    <n v="629424133"/>
    <x v="1"/>
    <x v="1"/>
    <x v="1"/>
    <n v="21.8"/>
    <n v="8"/>
    <n v="174.4"/>
    <x v="68"/>
    <x v="233"/>
    <x v="2"/>
    <n v="8.3000000000000007"/>
    <s v="NO PARTICIPA"/>
  </r>
  <r>
    <n v="252562699"/>
    <x v="2"/>
    <x v="1"/>
    <x v="4"/>
    <n v="43.19"/>
    <n v="10"/>
    <n v="431.9"/>
    <x v="9"/>
    <x v="29"/>
    <x v="1"/>
    <n v="8.1999999999999993"/>
    <s v="NO PARTICIPA"/>
  </r>
  <r>
    <n v="399465918"/>
    <x v="0"/>
    <x v="1"/>
    <x v="2"/>
    <n v="85.98"/>
    <n v="8"/>
    <n v="687.84"/>
    <x v="69"/>
    <x v="234"/>
    <x v="2"/>
    <n v="8.1999999999999993"/>
    <s v="NO PARTICIPA"/>
  </r>
  <r>
    <n v="225320908"/>
    <x v="0"/>
    <x v="1"/>
    <x v="0"/>
    <n v="44.86"/>
    <n v="10"/>
    <n v="448.6"/>
    <x v="37"/>
    <x v="222"/>
    <x v="1"/>
    <n v="8.1999999999999993"/>
    <s v="NO PARTICIPA"/>
  </r>
  <r>
    <n v="241729525"/>
    <x v="1"/>
    <x v="1"/>
    <x v="0"/>
    <n v="51.91"/>
    <n v="10"/>
    <n v="519.09999999999991"/>
    <x v="55"/>
    <x v="235"/>
    <x v="2"/>
    <n v="8.1999999999999993"/>
    <s v="NO PARTICIPA"/>
  </r>
  <r>
    <n v="699014164"/>
    <x v="0"/>
    <x v="1"/>
    <x v="1"/>
    <n v="41.5"/>
    <n v="4"/>
    <n v="166"/>
    <x v="59"/>
    <x v="236"/>
    <x v="0"/>
    <n v="8.1999999999999993"/>
    <s v="NO PARTICIPA"/>
  </r>
  <r>
    <n v="279621445"/>
    <x v="0"/>
    <x v="0"/>
    <x v="3"/>
    <n v="12.54"/>
    <n v="1"/>
    <n v="12.54"/>
    <x v="63"/>
    <x v="237"/>
    <x v="2"/>
    <n v="8.1999999999999993"/>
    <s v="NO PARTICIPA"/>
  </r>
  <r>
    <n v="745713520"/>
    <x v="2"/>
    <x v="0"/>
    <x v="2"/>
    <n v="25.22"/>
    <n v="7"/>
    <n v="176.54"/>
    <x v="22"/>
    <x v="7"/>
    <x v="2"/>
    <n v="8.1999999999999993"/>
    <s v="PARTICIPA"/>
  </r>
  <r>
    <n v="686410932"/>
    <x v="1"/>
    <x v="1"/>
    <x v="3"/>
    <n v="34.700000000000003"/>
    <n v="2"/>
    <n v="69.400000000000006"/>
    <x v="49"/>
    <x v="54"/>
    <x v="1"/>
    <n v="8.1999999999999993"/>
    <s v="NO PARTICIPA"/>
  </r>
  <r>
    <n v="503070930"/>
    <x v="0"/>
    <x v="0"/>
    <x v="0"/>
    <n v="58.39"/>
    <n v="7"/>
    <n v="408.73"/>
    <x v="66"/>
    <x v="238"/>
    <x v="0"/>
    <n v="8.1999999999999993"/>
    <s v="PARTICIPA"/>
  </r>
  <r>
    <n v="857679057"/>
    <x v="1"/>
    <x v="1"/>
    <x v="2"/>
    <n v="22.95"/>
    <n v="10"/>
    <n v="229.5"/>
    <x v="54"/>
    <x v="200"/>
    <x v="1"/>
    <n v="8.1999999999999993"/>
    <s v="NO PARTICIPA"/>
  </r>
  <r>
    <n v="218599410"/>
    <x v="2"/>
    <x v="0"/>
    <x v="5"/>
    <n v="72.42"/>
    <n v="3"/>
    <n v="217.26"/>
    <x v="24"/>
    <x v="239"/>
    <x v="1"/>
    <n v="8.1999999999999993"/>
    <s v="PARTICIPA"/>
  </r>
  <r>
    <n v="308391707"/>
    <x v="2"/>
    <x v="1"/>
    <x v="3"/>
    <n v="12.09"/>
    <n v="1"/>
    <n v="12.09"/>
    <x v="37"/>
    <x v="40"/>
    <x v="0"/>
    <n v="8.1999999999999993"/>
    <s v="NO PARTICIPA"/>
  </r>
  <r>
    <n v="748452862"/>
    <x v="2"/>
    <x v="0"/>
    <x v="5"/>
    <n v="28.31"/>
    <n v="4"/>
    <n v="113.24"/>
    <x v="32"/>
    <x v="240"/>
    <x v="2"/>
    <n v="8.1999999999999993"/>
    <s v="PARTICIPA"/>
  </r>
  <r>
    <n v="744829138"/>
    <x v="1"/>
    <x v="1"/>
    <x v="3"/>
    <n v="86.13"/>
    <n v="2"/>
    <n v="172.26"/>
    <x v="9"/>
    <x v="241"/>
    <x v="2"/>
    <n v="8.1999999999999993"/>
    <s v="NO PARTICIPA"/>
  </r>
  <r>
    <n v="669541719"/>
    <x v="1"/>
    <x v="0"/>
    <x v="2"/>
    <n v="18.93"/>
    <n v="6"/>
    <n v="113.58"/>
    <x v="11"/>
    <x v="89"/>
    <x v="0"/>
    <n v="8.1"/>
    <s v="PARTICIPA"/>
  </r>
  <r>
    <n v="280174359"/>
    <x v="0"/>
    <x v="0"/>
    <x v="1"/>
    <n v="90.5"/>
    <n v="10"/>
    <n v="905"/>
    <x v="39"/>
    <x v="184"/>
    <x v="2"/>
    <n v="8.1"/>
    <s v="PARTICIPA"/>
  </r>
  <r>
    <n v="704204138"/>
    <x v="0"/>
    <x v="0"/>
    <x v="1"/>
    <n v="29.67"/>
    <n v="7"/>
    <n v="207.69"/>
    <x v="64"/>
    <x v="176"/>
    <x v="0"/>
    <n v="8.1"/>
    <s v="PARTICIPA"/>
  </r>
  <r>
    <n v="541899860"/>
    <x v="0"/>
    <x v="0"/>
    <x v="3"/>
    <n v="80.48"/>
    <n v="3"/>
    <n v="241.44"/>
    <x v="0"/>
    <x v="242"/>
    <x v="2"/>
    <n v="8.1"/>
    <s v="PARTICIPA"/>
  </r>
  <r>
    <n v="450282866"/>
    <x v="0"/>
    <x v="0"/>
    <x v="4"/>
    <n v="17.440000000000001"/>
    <n v="5"/>
    <n v="87.2"/>
    <x v="38"/>
    <x v="116"/>
    <x v="2"/>
    <n v="8.1"/>
    <s v="PARTICIPA"/>
  </r>
  <r>
    <n v="355346244"/>
    <x v="1"/>
    <x v="1"/>
    <x v="4"/>
    <n v="72.39"/>
    <n v="2"/>
    <n v="144.78"/>
    <x v="64"/>
    <x v="243"/>
    <x v="0"/>
    <n v="8.1"/>
    <s v="NO PARTICIPA"/>
  </r>
  <r>
    <n v="207731363"/>
    <x v="1"/>
    <x v="1"/>
    <x v="1"/>
    <n v="69.510000000000005"/>
    <n v="2"/>
    <n v="139.02000000000001"/>
    <x v="29"/>
    <x v="244"/>
    <x v="1"/>
    <n v="8.1"/>
    <s v="NO PARTICIPA"/>
  </r>
  <r>
    <n v="648943045"/>
    <x v="1"/>
    <x v="1"/>
    <x v="1"/>
    <n v="58.95"/>
    <n v="10"/>
    <n v="589.5"/>
    <x v="9"/>
    <x v="245"/>
    <x v="1"/>
    <n v="8.1"/>
    <s v="NO PARTICIPA"/>
  </r>
  <r>
    <n v="482171179"/>
    <x v="2"/>
    <x v="0"/>
    <x v="2"/>
    <n v="11.94"/>
    <n v="3"/>
    <n v="35.82"/>
    <x v="21"/>
    <x v="246"/>
    <x v="0"/>
    <n v="8.1"/>
    <s v="PARTICIPA"/>
  </r>
  <r>
    <n v="386277606"/>
    <x v="1"/>
    <x v="0"/>
    <x v="5"/>
    <n v="81.2"/>
    <n v="7"/>
    <n v="568.4"/>
    <x v="53"/>
    <x v="247"/>
    <x v="0"/>
    <n v="8.1"/>
    <s v="PARTICIPA"/>
  </r>
  <r>
    <n v="864247918"/>
    <x v="2"/>
    <x v="0"/>
    <x v="0"/>
    <n v="24.49"/>
    <n v="10"/>
    <n v="244.89999999999998"/>
    <x v="46"/>
    <x v="51"/>
    <x v="2"/>
    <n v="8.1"/>
    <s v="PARTICIPA"/>
  </r>
  <r>
    <n v="114355271"/>
    <x v="0"/>
    <x v="1"/>
    <x v="2"/>
    <n v="57.91"/>
    <n v="8"/>
    <n v="463.28"/>
    <x v="9"/>
    <x v="248"/>
    <x v="2"/>
    <n v="8.1"/>
    <s v="NO PARTICIPA"/>
  </r>
  <r>
    <n v="865419075"/>
    <x v="2"/>
    <x v="1"/>
    <x v="4"/>
    <n v="11.53"/>
    <n v="7"/>
    <n v="80.709999999999994"/>
    <x v="10"/>
    <x v="249"/>
    <x v="2"/>
    <n v="8.1"/>
    <s v="NO PARTICIPA"/>
  </r>
  <r>
    <n v="315225665"/>
    <x v="0"/>
    <x v="1"/>
    <x v="5"/>
    <n v="73.56"/>
    <n v="10"/>
    <n v="735.6"/>
    <x v="79"/>
    <x v="250"/>
    <x v="1"/>
    <n v="8"/>
    <s v="NO PARTICIPA"/>
  </r>
  <r>
    <n v="716391409"/>
    <x v="1"/>
    <x v="1"/>
    <x v="1"/>
    <n v="30.35"/>
    <n v="7"/>
    <n v="212.45000000000002"/>
    <x v="12"/>
    <x v="40"/>
    <x v="2"/>
    <n v="8"/>
    <s v="NO PARTICIPA"/>
  </r>
  <r>
    <n v="239107476"/>
    <x v="2"/>
    <x v="1"/>
    <x v="5"/>
    <n v="77.95"/>
    <n v="6"/>
    <n v="467.70000000000005"/>
    <x v="75"/>
    <x v="251"/>
    <x v="1"/>
    <n v="8"/>
    <s v="NO PARTICIPA"/>
  </r>
  <r>
    <n v="851286367"/>
    <x v="2"/>
    <x v="0"/>
    <x v="0"/>
    <n v="15.5"/>
    <n v="10"/>
    <n v="155"/>
    <x v="53"/>
    <x v="88"/>
    <x v="1"/>
    <n v="8"/>
    <s v="PARTICIPA"/>
  </r>
  <r>
    <n v="895660685"/>
    <x v="1"/>
    <x v="0"/>
    <x v="4"/>
    <n v="18.079999999999998"/>
    <n v="3"/>
    <n v="54.239999999999995"/>
    <x v="58"/>
    <x v="252"/>
    <x v="1"/>
    <n v="8"/>
    <s v="PARTICIPA"/>
  </r>
  <r>
    <n v="418025978"/>
    <x v="1"/>
    <x v="1"/>
    <x v="1"/>
    <n v="84.09"/>
    <n v="9"/>
    <n v="756.81000000000006"/>
    <x v="89"/>
    <x v="108"/>
    <x v="2"/>
    <n v="8"/>
    <s v="NO PARTICIPA"/>
  </r>
  <r>
    <n v="471412823"/>
    <x v="0"/>
    <x v="1"/>
    <x v="4"/>
    <n v="99.79"/>
    <n v="2"/>
    <n v="199.58"/>
    <x v="32"/>
    <x v="139"/>
    <x v="1"/>
    <n v="8"/>
    <s v="NO PARTICIPA"/>
  </r>
  <r>
    <n v="346123257"/>
    <x v="1"/>
    <x v="0"/>
    <x v="2"/>
    <n v="19.239999999999998"/>
    <n v="9"/>
    <n v="173.16"/>
    <x v="87"/>
    <x v="217"/>
    <x v="2"/>
    <n v="8"/>
    <s v="PARTICIPA"/>
  </r>
  <r>
    <n v="882404577"/>
    <x v="2"/>
    <x v="0"/>
    <x v="0"/>
    <n v="67.260000000000005"/>
    <n v="4"/>
    <n v="269.04000000000002"/>
    <x v="21"/>
    <x v="253"/>
    <x v="0"/>
    <n v="8"/>
    <s v="PARTICIPA"/>
  </r>
  <r>
    <n v="650986268"/>
    <x v="1"/>
    <x v="0"/>
    <x v="4"/>
    <n v="20.87"/>
    <n v="3"/>
    <n v="62.61"/>
    <x v="26"/>
    <x v="30"/>
    <x v="0"/>
    <n v="8"/>
    <s v="PARTICIPA"/>
  </r>
  <r>
    <n v="534014457"/>
    <x v="2"/>
    <x v="1"/>
    <x v="4"/>
    <n v="81.709999999999994"/>
    <n v="6"/>
    <n v="490.26"/>
    <x v="41"/>
    <x v="59"/>
    <x v="0"/>
    <n v="8"/>
    <s v="NO PARTICIPA"/>
  </r>
  <r>
    <n v="339187061"/>
    <x v="0"/>
    <x v="0"/>
    <x v="3"/>
    <n v="92.98"/>
    <n v="2"/>
    <n v="185.96"/>
    <x v="59"/>
    <x v="248"/>
    <x v="0"/>
    <n v="8"/>
    <s v="PARTICIPA"/>
  </r>
  <r>
    <n v="250817186"/>
    <x v="1"/>
    <x v="1"/>
    <x v="2"/>
    <n v="99.69"/>
    <n v="1"/>
    <n v="99.69"/>
    <x v="61"/>
    <x v="7"/>
    <x v="0"/>
    <n v="8"/>
    <s v="NO PARTICIPA"/>
  </r>
  <r>
    <n v="767974650"/>
    <x v="0"/>
    <x v="0"/>
    <x v="0"/>
    <n v="64.83"/>
    <n v="2"/>
    <n v="129.66"/>
    <x v="72"/>
    <x v="254"/>
    <x v="0"/>
    <n v="8"/>
    <s v="PARTICIPA"/>
  </r>
  <r>
    <n v="751419720"/>
    <x v="1"/>
    <x v="1"/>
    <x v="5"/>
    <n v="97.5"/>
    <n v="10"/>
    <n v="975"/>
    <x v="76"/>
    <x v="255"/>
    <x v="1"/>
    <n v="8"/>
    <s v="NO PARTICIPA"/>
  </r>
  <r>
    <n v="487796868"/>
    <x v="0"/>
    <x v="0"/>
    <x v="5"/>
    <n v="12.29"/>
    <n v="9"/>
    <n v="110.60999999999999"/>
    <x v="47"/>
    <x v="256"/>
    <x v="0"/>
    <n v="8"/>
    <s v="PARTICIPA"/>
  </r>
  <r>
    <n v="156953964"/>
    <x v="2"/>
    <x v="1"/>
    <x v="4"/>
    <n v="55.39"/>
    <n v="4"/>
    <n v="221.56"/>
    <x v="7"/>
    <x v="257"/>
    <x v="1"/>
    <n v="8"/>
    <s v="NO PARTICIPA"/>
  </r>
  <r>
    <n v="759984285"/>
    <x v="1"/>
    <x v="0"/>
    <x v="1"/>
    <n v="85.87"/>
    <n v="7"/>
    <n v="601.09"/>
    <x v="61"/>
    <x v="234"/>
    <x v="0"/>
    <n v="8"/>
    <s v="PARTICIPA"/>
  </r>
  <r>
    <n v="120542248"/>
    <x v="0"/>
    <x v="1"/>
    <x v="4"/>
    <n v="28.86"/>
    <n v="5"/>
    <n v="144.30000000000001"/>
    <x v="16"/>
    <x v="52"/>
    <x v="0"/>
    <n v="8"/>
    <s v="NO PARTICIPA"/>
  </r>
  <r>
    <n v="759299521"/>
    <x v="2"/>
    <x v="0"/>
    <x v="3"/>
    <n v="48.96"/>
    <n v="9"/>
    <n v="440.64"/>
    <x v="80"/>
    <x v="258"/>
    <x v="2"/>
    <n v="8"/>
    <s v="PARTICIPA"/>
  </r>
  <r>
    <n v="831816575"/>
    <x v="0"/>
    <x v="0"/>
    <x v="2"/>
    <n v="75.59"/>
    <n v="9"/>
    <n v="680.31000000000006"/>
    <x v="66"/>
    <x v="259"/>
    <x v="2"/>
    <n v="8"/>
    <s v="PARTICIPA"/>
  </r>
  <r>
    <n v="280355823"/>
    <x v="1"/>
    <x v="0"/>
    <x v="5"/>
    <n v="86.72"/>
    <n v="1"/>
    <n v="86.72"/>
    <x v="40"/>
    <x v="38"/>
    <x v="1"/>
    <n v="7.9"/>
    <s v="PARTICIPA"/>
  </r>
  <r>
    <n v="574225561"/>
    <x v="0"/>
    <x v="0"/>
    <x v="3"/>
    <n v="82.63"/>
    <n v="10"/>
    <n v="826.3"/>
    <x v="12"/>
    <x v="197"/>
    <x v="1"/>
    <n v="7.9"/>
    <s v="PARTICIPA"/>
  </r>
  <r>
    <n v="628343388"/>
    <x v="0"/>
    <x v="1"/>
    <x v="3"/>
    <n v="27.38"/>
    <n v="6"/>
    <n v="164.28"/>
    <x v="45"/>
    <x v="28"/>
    <x v="0"/>
    <n v="7.9"/>
    <s v="NO PARTICIPA"/>
  </r>
  <r>
    <n v="749241565"/>
    <x v="2"/>
    <x v="1"/>
    <x v="1"/>
    <n v="23.03"/>
    <n v="9"/>
    <n v="207.27"/>
    <x v="29"/>
    <x v="73"/>
    <x v="1"/>
    <n v="7.9"/>
    <s v="NO PARTICIPA"/>
  </r>
  <r>
    <n v="790291172"/>
    <x v="1"/>
    <x v="1"/>
    <x v="4"/>
    <n v="57.34"/>
    <n v="3"/>
    <n v="172.02"/>
    <x v="82"/>
    <x v="231"/>
    <x v="0"/>
    <n v="7.9"/>
    <s v="NO PARTICIPA"/>
  </r>
  <r>
    <n v="154747179"/>
    <x v="1"/>
    <x v="1"/>
    <x v="0"/>
    <n v="54.45"/>
    <n v="1"/>
    <n v="54.45"/>
    <x v="90"/>
    <x v="233"/>
    <x v="1"/>
    <n v="7.9"/>
    <s v="NO PARTICIPA"/>
  </r>
  <r>
    <n v="477246490"/>
    <x v="1"/>
    <x v="1"/>
    <x v="1"/>
    <n v="99.71"/>
    <n v="6"/>
    <n v="598.26"/>
    <x v="90"/>
    <x v="260"/>
    <x v="1"/>
    <n v="7.9"/>
    <s v="NO PARTICIPA"/>
  </r>
  <r>
    <n v="523380215"/>
    <x v="0"/>
    <x v="1"/>
    <x v="5"/>
    <n v="37"/>
    <n v="1"/>
    <n v="37"/>
    <x v="85"/>
    <x v="26"/>
    <x v="0"/>
    <n v="7.9"/>
    <s v="NO PARTICIPA"/>
  </r>
  <r>
    <n v="442483607"/>
    <x v="2"/>
    <x v="0"/>
    <x v="4"/>
    <n v="23.48"/>
    <n v="2"/>
    <n v="46.96"/>
    <x v="62"/>
    <x v="220"/>
    <x v="0"/>
    <n v="7.9"/>
    <s v="PARTICIPA"/>
  </r>
  <r>
    <n v="729467422"/>
    <x v="0"/>
    <x v="1"/>
    <x v="4"/>
    <n v="35.89"/>
    <n v="1"/>
    <n v="35.89"/>
    <x v="66"/>
    <x v="260"/>
    <x v="0"/>
    <n v="7.9"/>
    <s v="NO PARTICIPA"/>
  </r>
  <r>
    <n v="562125430"/>
    <x v="2"/>
    <x v="0"/>
    <x v="3"/>
    <n v="88.15"/>
    <n v="3"/>
    <n v="264.45000000000005"/>
    <x v="19"/>
    <x v="261"/>
    <x v="1"/>
    <n v="7.9"/>
    <s v="PARTICIPA"/>
  </r>
  <r>
    <n v="842294695"/>
    <x v="1"/>
    <x v="0"/>
    <x v="0"/>
    <n v="17.14"/>
    <n v="7"/>
    <n v="119.98"/>
    <x v="71"/>
    <x v="262"/>
    <x v="0"/>
    <n v="7.9"/>
    <s v="PARTICIPA"/>
  </r>
  <r>
    <n v="776681096"/>
    <x v="0"/>
    <x v="1"/>
    <x v="5"/>
    <n v="44.12"/>
    <n v="3"/>
    <n v="132.35999999999999"/>
    <x v="30"/>
    <x v="263"/>
    <x v="0"/>
    <n v="7.9"/>
    <s v="NO PARTICIPA"/>
  </r>
  <r>
    <n v="711311234"/>
    <x v="0"/>
    <x v="1"/>
    <x v="2"/>
    <n v="95.64"/>
    <n v="4"/>
    <n v="382.56"/>
    <x v="65"/>
    <x v="264"/>
    <x v="2"/>
    <n v="7.9"/>
    <s v="NO PARTICIPA"/>
  </r>
  <r>
    <n v="751156198"/>
    <x v="0"/>
    <x v="1"/>
    <x v="0"/>
    <n v="23.01"/>
    <n v="6"/>
    <n v="138.06"/>
    <x v="76"/>
    <x v="265"/>
    <x v="1"/>
    <n v="7.9"/>
    <s v="NO PARTICIPA"/>
  </r>
  <r>
    <n v="497360989"/>
    <x v="2"/>
    <x v="1"/>
    <x v="3"/>
    <n v="51.94"/>
    <n v="3"/>
    <n v="155.82"/>
    <x v="0"/>
    <x v="266"/>
    <x v="2"/>
    <n v="7.9"/>
    <s v="NO PARTICIPA"/>
  </r>
  <r>
    <n v="118621812"/>
    <x v="1"/>
    <x v="0"/>
    <x v="5"/>
    <n v="78.38"/>
    <n v="4"/>
    <n v="313.52"/>
    <x v="48"/>
    <x v="267"/>
    <x v="2"/>
    <n v="7.9"/>
    <s v="PARTICIPA"/>
  </r>
  <r>
    <n v="373881424"/>
    <x v="1"/>
    <x v="0"/>
    <x v="5"/>
    <n v="35.81"/>
    <n v="5"/>
    <n v="179.05"/>
    <x v="78"/>
    <x v="268"/>
    <x v="1"/>
    <n v="7.9"/>
    <s v="PARTICIPA"/>
  </r>
  <r>
    <n v="210675886"/>
    <x v="0"/>
    <x v="0"/>
    <x v="1"/>
    <n v="98.21"/>
    <n v="3"/>
    <n v="294.63"/>
    <x v="36"/>
    <x v="269"/>
    <x v="0"/>
    <n v="7.8"/>
    <s v="PARTICIPA"/>
  </r>
  <r>
    <n v="263875680"/>
    <x v="0"/>
    <x v="0"/>
    <x v="5"/>
    <n v="28.53"/>
    <n v="10"/>
    <n v="285.3"/>
    <x v="30"/>
    <x v="95"/>
    <x v="1"/>
    <n v="7.8"/>
    <s v="PARTICIPA"/>
  </r>
  <r>
    <n v="848422560"/>
    <x v="2"/>
    <x v="1"/>
    <x v="3"/>
    <n v="81.91"/>
    <n v="2"/>
    <n v="163.82"/>
    <x v="58"/>
    <x v="270"/>
    <x v="2"/>
    <n v="7.8"/>
    <s v="NO PARTICIPA"/>
  </r>
  <r>
    <n v="378077001"/>
    <x v="1"/>
    <x v="0"/>
    <x v="2"/>
    <n v="48.09"/>
    <n v="3"/>
    <n v="144.27000000000001"/>
    <x v="11"/>
    <x v="9"/>
    <x v="0"/>
    <n v="7.8"/>
    <s v="PARTICIPA"/>
  </r>
  <r>
    <n v="889049723"/>
    <x v="1"/>
    <x v="0"/>
    <x v="4"/>
    <n v="89.14"/>
    <n v="4"/>
    <n v="356.56"/>
    <x v="6"/>
    <x v="271"/>
    <x v="0"/>
    <n v="7.8"/>
    <s v="PARTICIPA"/>
  </r>
  <r>
    <n v="254310042"/>
    <x v="2"/>
    <x v="0"/>
    <x v="2"/>
    <n v="21.5"/>
    <n v="9"/>
    <n v="193.5"/>
    <x v="85"/>
    <x v="39"/>
    <x v="0"/>
    <n v="7.8"/>
    <s v="PARTICIPA"/>
  </r>
  <r>
    <n v="732675346"/>
    <x v="2"/>
    <x v="1"/>
    <x v="4"/>
    <n v="13.79"/>
    <n v="5"/>
    <n v="68.949999999999989"/>
    <x v="34"/>
    <x v="272"/>
    <x v="0"/>
    <n v="7.8"/>
    <s v="NO PARTICIPA"/>
  </r>
  <r>
    <n v="132236451"/>
    <x v="2"/>
    <x v="0"/>
    <x v="1"/>
    <n v="20.97"/>
    <n v="5"/>
    <n v="104.85"/>
    <x v="33"/>
    <x v="27"/>
    <x v="2"/>
    <n v="7.8"/>
    <s v="PARTICIPA"/>
  </r>
  <r>
    <n v="268036164"/>
    <x v="1"/>
    <x v="1"/>
    <x v="1"/>
    <n v="96.11"/>
    <n v="1"/>
    <n v="96.11"/>
    <x v="39"/>
    <x v="217"/>
    <x v="1"/>
    <n v="7.8"/>
    <s v="NO PARTICIPA"/>
  </r>
  <r>
    <n v="642306693"/>
    <x v="0"/>
    <x v="1"/>
    <x v="0"/>
    <n v="54.51"/>
    <n v="6"/>
    <n v="327.06"/>
    <x v="88"/>
    <x v="273"/>
    <x v="1"/>
    <n v="7.8"/>
    <s v="NO PARTICIPA"/>
  </r>
  <r>
    <n v="369822676"/>
    <x v="0"/>
    <x v="1"/>
    <x v="2"/>
    <n v="75.66"/>
    <n v="5"/>
    <n v="378.29999999999995"/>
    <x v="38"/>
    <x v="274"/>
    <x v="1"/>
    <n v="7.8"/>
    <s v="NO PARTICIPA"/>
  </r>
  <r>
    <n v="868060466"/>
    <x v="2"/>
    <x v="0"/>
    <x v="2"/>
    <n v="69.58"/>
    <n v="9"/>
    <n v="626.22"/>
    <x v="68"/>
    <x v="79"/>
    <x v="0"/>
    <n v="7.8"/>
    <s v="PARTICIPA"/>
  </r>
  <r>
    <n v="534533526"/>
    <x v="2"/>
    <x v="1"/>
    <x v="0"/>
    <n v="94.76"/>
    <n v="4"/>
    <n v="379.04"/>
    <x v="57"/>
    <x v="275"/>
    <x v="1"/>
    <n v="7.8"/>
    <s v="NO PARTICIPA"/>
  </r>
  <r>
    <n v="840765966"/>
    <x v="2"/>
    <x v="0"/>
    <x v="0"/>
    <n v="12.76"/>
    <n v="2"/>
    <n v="25.52"/>
    <x v="72"/>
    <x v="90"/>
    <x v="1"/>
    <n v="7.8"/>
    <s v="NO PARTICIPA"/>
  </r>
  <r>
    <n v="867471948"/>
    <x v="1"/>
    <x v="1"/>
    <x v="5"/>
    <n v="15.8"/>
    <n v="10"/>
    <n v="158"/>
    <x v="91"/>
    <x v="262"/>
    <x v="2"/>
    <n v="7.8"/>
    <s v="NO PARTICIPA"/>
  </r>
  <r>
    <n v="189174241"/>
    <x v="2"/>
    <x v="1"/>
    <x v="3"/>
    <n v="87.67"/>
    <n v="2"/>
    <n v="175.34"/>
    <x v="82"/>
    <x v="276"/>
    <x v="0"/>
    <n v="7.7"/>
    <s v="NO PARTICIPA"/>
  </r>
  <r>
    <n v="777827220"/>
    <x v="1"/>
    <x v="0"/>
    <x v="5"/>
    <n v="30.12"/>
    <n v="8"/>
    <n v="240.96"/>
    <x v="43"/>
    <x v="277"/>
    <x v="2"/>
    <n v="7.7"/>
    <s v="PARTICIPA"/>
  </r>
  <r>
    <n v="434839547"/>
    <x v="0"/>
    <x v="0"/>
    <x v="4"/>
    <n v="38.47"/>
    <n v="8"/>
    <n v="307.76"/>
    <x v="23"/>
    <x v="278"/>
    <x v="2"/>
    <n v="7.7"/>
    <s v="PARTICIPA"/>
  </r>
  <r>
    <n v="779060012"/>
    <x v="0"/>
    <x v="0"/>
    <x v="5"/>
    <n v="88.61"/>
    <n v="1"/>
    <n v="88.61"/>
    <x v="21"/>
    <x v="279"/>
    <x v="2"/>
    <n v="7.7"/>
    <s v="PARTICIPA"/>
  </r>
  <r>
    <n v="873954984"/>
    <x v="1"/>
    <x v="0"/>
    <x v="1"/>
    <n v="76.900000000000006"/>
    <n v="7"/>
    <n v="538.30000000000007"/>
    <x v="0"/>
    <x v="126"/>
    <x v="2"/>
    <n v="7.7"/>
    <s v="PARTICIPA"/>
  </r>
  <r>
    <n v="345084992"/>
    <x v="2"/>
    <x v="1"/>
    <x v="5"/>
    <n v="33.99"/>
    <n v="6"/>
    <n v="203.94"/>
    <x v="42"/>
    <x v="280"/>
    <x v="0"/>
    <n v="7.7"/>
    <s v="NO PARTICIPA"/>
  </r>
  <r>
    <n v="440595691"/>
    <x v="0"/>
    <x v="0"/>
    <x v="1"/>
    <n v="37.15"/>
    <n v="7"/>
    <n v="260.05"/>
    <x v="83"/>
    <x v="281"/>
    <x v="0"/>
    <n v="7.7"/>
    <s v="PARTICIPA"/>
  </r>
  <r>
    <n v="862179201"/>
    <x v="1"/>
    <x v="1"/>
    <x v="4"/>
    <n v="84.05"/>
    <n v="6"/>
    <n v="504.29999999999995"/>
    <x v="70"/>
    <x v="282"/>
    <x v="0"/>
    <n v="7.7"/>
    <s v="NO PARTICIPA"/>
  </r>
  <r>
    <n v="734911155"/>
    <x v="1"/>
    <x v="1"/>
    <x v="2"/>
    <n v="45.71"/>
    <n v="3"/>
    <n v="137.13"/>
    <x v="47"/>
    <x v="283"/>
    <x v="0"/>
    <n v="7.7"/>
    <s v="NO PARTICIPA"/>
  </r>
  <r>
    <n v="356448813"/>
    <x v="1"/>
    <x v="1"/>
    <x v="5"/>
    <n v="37.479999999999997"/>
    <n v="3"/>
    <n v="112.44"/>
    <x v="18"/>
    <x v="263"/>
    <x v="0"/>
    <n v="7.7"/>
    <s v="NO PARTICIPA"/>
  </r>
  <r>
    <n v="651887328"/>
    <x v="2"/>
    <x v="1"/>
    <x v="3"/>
    <n v="65.739999999999995"/>
    <n v="9"/>
    <n v="591.66"/>
    <x v="74"/>
    <x v="284"/>
    <x v="2"/>
    <n v="7.7"/>
    <s v="NO PARTICIPA"/>
  </r>
  <r>
    <n v="797880493"/>
    <x v="2"/>
    <x v="1"/>
    <x v="1"/>
    <n v="64.27"/>
    <n v="4"/>
    <n v="257.08"/>
    <x v="47"/>
    <x v="273"/>
    <x v="2"/>
    <n v="7.7"/>
    <s v="NO PARTICIPA"/>
  </r>
  <r>
    <n v="695286250"/>
    <x v="2"/>
    <x v="1"/>
    <x v="0"/>
    <n v="43.06"/>
    <n v="5"/>
    <n v="215.3"/>
    <x v="22"/>
    <x v="285"/>
    <x v="1"/>
    <n v="7.7"/>
    <s v="NO PARTICIPA"/>
  </r>
  <r>
    <n v="714023114"/>
    <x v="1"/>
    <x v="1"/>
    <x v="0"/>
    <n v="98.8"/>
    <n v="2"/>
    <n v="197.6"/>
    <x v="63"/>
    <x v="82"/>
    <x v="2"/>
    <n v="7.7"/>
    <s v="NO PARTICIPA"/>
  </r>
  <r>
    <n v="779422410"/>
    <x v="0"/>
    <x v="0"/>
    <x v="4"/>
    <n v="57.74"/>
    <n v="3"/>
    <n v="173.22"/>
    <x v="3"/>
    <x v="286"/>
    <x v="1"/>
    <n v="7.7"/>
    <s v="PARTICIPA"/>
  </r>
  <r>
    <n v="886546089"/>
    <x v="2"/>
    <x v="1"/>
    <x v="5"/>
    <n v="11.43"/>
    <n v="6"/>
    <n v="68.58"/>
    <x v="38"/>
    <x v="216"/>
    <x v="2"/>
    <n v="7.7"/>
    <s v="NO PARTICIPA"/>
  </r>
  <r>
    <n v="222420244"/>
    <x v="0"/>
    <x v="0"/>
    <x v="1"/>
    <n v="72.11"/>
    <n v="9"/>
    <n v="648.99"/>
    <x v="10"/>
    <x v="30"/>
    <x v="0"/>
    <n v="7.7"/>
    <s v="PARTICIPA"/>
  </r>
  <r>
    <n v="727021313"/>
    <x v="2"/>
    <x v="0"/>
    <x v="4"/>
    <n v="31.84"/>
    <n v="1"/>
    <n v="31.84"/>
    <x v="81"/>
    <x v="57"/>
    <x v="2"/>
    <n v="7.7"/>
    <s v="PARTICIPA"/>
  </r>
  <r>
    <n v="333737901"/>
    <x v="0"/>
    <x v="1"/>
    <x v="1"/>
    <n v="54.92"/>
    <n v="8"/>
    <n v="439.36"/>
    <x v="53"/>
    <x v="287"/>
    <x v="1"/>
    <n v="7.6"/>
    <s v="NO PARTICIPA"/>
  </r>
  <r>
    <n v="228961411"/>
    <x v="0"/>
    <x v="0"/>
    <x v="4"/>
    <n v="98.7"/>
    <n v="8"/>
    <n v="789.6"/>
    <x v="87"/>
    <x v="288"/>
    <x v="2"/>
    <n v="7.6"/>
    <s v="PARTICIPA"/>
  </r>
  <r>
    <n v="853232453"/>
    <x v="1"/>
    <x v="0"/>
    <x v="1"/>
    <n v="75.739999999999995"/>
    <n v="4"/>
    <n v="302.95999999999998"/>
    <x v="67"/>
    <x v="289"/>
    <x v="2"/>
    <n v="7.6"/>
    <s v="PARTICIPA"/>
  </r>
  <r>
    <n v="498411961"/>
    <x v="1"/>
    <x v="1"/>
    <x v="1"/>
    <n v="66.680000000000007"/>
    <n v="5"/>
    <n v="333.40000000000003"/>
    <x v="3"/>
    <x v="157"/>
    <x v="2"/>
    <n v="7.6"/>
    <s v="NO PARTICIPA"/>
  </r>
  <r>
    <n v="340660321"/>
    <x v="2"/>
    <x v="0"/>
    <x v="2"/>
    <n v="36.36"/>
    <n v="4"/>
    <n v="145.44"/>
    <x v="7"/>
    <x v="65"/>
    <x v="2"/>
    <n v="7.6"/>
    <s v="PARTICIPA"/>
  </r>
  <r>
    <n v="135848019"/>
    <x v="2"/>
    <x v="1"/>
    <x v="3"/>
    <n v="77.930000000000007"/>
    <n v="9"/>
    <n v="701.37000000000012"/>
    <x v="61"/>
    <x v="290"/>
    <x v="1"/>
    <n v="7.6"/>
    <s v="NO PARTICIPA"/>
  </r>
  <r>
    <n v="744095786"/>
    <x v="1"/>
    <x v="1"/>
    <x v="2"/>
    <n v="22.01"/>
    <n v="6"/>
    <n v="132.06"/>
    <x v="92"/>
    <x v="291"/>
    <x v="2"/>
    <n v="7.6"/>
    <s v="NO PARTICIPA"/>
  </r>
  <r>
    <n v="325908763"/>
    <x v="0"/>
    <x v="0"/>
    <x v="2"/>
    <n v="46.57"/>
    <n v="10"/>
    <n v="465.7"/>
    <x v="41"/>
    <x v="15"/>
    <x v="2"/>
    <n v="7.6"/>
    <s v="PARTICIPA"/>
  </r>
  <r>
    <n v="189520236"/>
    <x v="2"/>
    <x v="1"/>
    <x v="2"/>
    <n v="99.55"/>
    <n v="7"/>
    <n v="696.85"/>
    <x v="62"/>
    <x v="262"/>
    <x v="2"/>
    <n v="7.6"/>
    <s v="NO PARTICIPA"/>
  </r>
  <r>
    <n v="834831826"/>
    <x v="1"/>
    <x v="0"/>
    <x v="5"/>
    <n v="82.04"/>
    <n v="5"/>
    <n v="410.20000000000005"/>
    <x v="4"/>
    <x v="292"/>
    <x v="0"/>
    <n v="7.6"/>
    <s v="PARTICIPA"/>
  </r>
  <r>
    <n v="518172983"/>
    <x v="2"/>
    <x v="1"/>
    <x v="3"/>
    <n v="48.63"/>
    <n v="4"/>
    <n v="194.52"/>
    <x v="22"/>
    <x v="219"/>
    <x v="1"/>
    <n v="7.6"/>
    <s v="NO PARTICIPA"/>
  </r>
  <r>
    <n v="372625264"/>
    <x v="1"/>
    <x v="1"/>
    <x v="4"/>
    <n v="52.6"/>
    <n v="9"/>
    <n v="473.40000000000003"/>
    <x v="71"/>
    <x v="127"/>
    <x v="2"/>
    <n v="7.6"/>
    <s v="NO PARTICIPA"/>
  </r>
  <r>
    <n v="834455519"/>
    <x v="0"/>
    <x v="1"/>
    <x v="2"/>
    <n v="43"/>
    <n v="4"/>
    <n v="172"/>
    <x v="35"/>
    <x v="293"/>
    <x v="1"/>
    <n v="7.6"/>
    <s v="NO PARTICIPA"/>
  </r>
  <r>
    <n v="587734862"/>
    <x v="2"/>
    <x v="0"/>
    <x v="1"/>
    <n v="10.69"/>
    <n v="5"/>
    <n v="53.449999999999996"/>
    <x v="47"/>
    <x v="294"/>
    <x v="1"/>
    <n v="7.6"/>
    <s v="PARTICIPA"/>
  </r>
  <r>
    <n v="237446163"/>
    <x v="2"/>
    <x v="1"/>
    <x v="2"/>
    <n v="10.56"/>
    <n v="8"/>
    <n v="84.48"/>
    <x v="77"/>
    <x v="270"/>
    <x v="2"/>
    <n v="7.6"/>
    <s v="NO PARTICIPA"/>
  </r>
  <r>
    <n v="548483156"/>
    <x v="2"/>
    <x v="0"/>
    <x v="4"/>
    <n v="83.34"/>
    <n v="2"/>
    <n v="166.68"/>
    <x v="12"/>
    <x v="295"/>
    <x v="2"/>
    <n v="7.6"/>
    <s v="PARTICIPA"/>
  </r>
  <r>
    <n v="522578364"/>
    <x v="2"/>
    <x v="0"/>
    <x v="3"/>
    <n v="51.34"/>
    <n v="8"/>
    <n v="410.72"/>
    <x v="35"/>
    <x v="296"/>
    <x v="1"/>
    <n v="7.6"/>
    <s v="PARTICIPA"/>
  </r>
  <r>
    <n v="431662305"/>
    <x v="0"/>
    <x v="1"/>
    <x v="2"/>
    <n v="88.25"/>
    <n v="9"/>
    <n v="794.25"/>
    <x v="0"/>
    <x v="297"/>
    <x v="0"/>
    <n v="7.6"/>
    <s v="NO PARTICIPA"/>
  </r>
  <r>
    <n v="458108612"/>
    <x v="1"/>
    <x v="1"/>
    <x v="1"/>
    <n v="64.08"/>
    <n v="7"/>
    <n v="448.56"/>
    <x v="18"/>
    <x v="189"/>
    <x v="1"/>
    <n v="7.6"/>
    <s v="NO PARTICIPA"/>
  </r>
  <r>
    <n v="784080310"/>
    <x v="1"/>
    <x v="0"/>
    <x v="4"/>
    <n v="21.04"/>
    <n v="4"/>
    <n v="84.16"/>
    <x v="64"/>
    <x v="15"/>
    <x v="2"/>
    <n v="7.6"/>
    <s v="PARTICIPA"/>
  </r>
  <r>
    <n v="183566882"/>
    <x v="0"/>
    <x v="0"/>
    <x v="4"/>
    <n v="99.42"/>
    <n v="4"/>
    <n v="397.68"/>
    <x v="54"/>
    <x v="298"/>
    <x v="1"/>
    <n v="7.5"/>
    <s v="PARTICIPA"/>
  </r>
  <r>
    <n v="191106171"/>
    <x v="1"/>
    <x v="1"/>
    <x v="3"/>
    <n v="39.619999999999997"/>
    <n v="7"/>
    <n v="277.33999999999997"/>
    <x v="39"/>
    <x v="299"/>
    <x v="2"/>
    <n v="7.5"/>
    <s v="NO PARTICIPA"/>
  </r>
  <r>
    <n v="305140245"/>
    <x v="1"/>
    <x v="0"/>
    <x v="5"/>
    <n v="94.49"/>
    <n v="8"/>
    <n v="755.92"/>
    <x v="43"/>
    <x v="300"/>
    <x v="1"/>
    <n v="7.5"/>
    <s v="PARTICIPA"/>
  </r>
  <r>
    <n v="211050490"/>
    <x v="0"/>
    <x v="0"/>
    <x v="2"/>
    <n v="51.92"/>
    <n v="5"/>
    <n v="259.60000000000002"/>
    <x v="43"/>
    <x v="301"/>
    <x v="2"/>
    <n v="7.5"/>
    <s v="PARTICIPA"/>
  </r>
  <r>
    <n v="898042717"/>
    <x v="2"/>
    <x v="1"/>
    <x v="3"/>
    <n v="76.400000000000006"/>
    <n v="9"/>
    <n v="687.6"/>
    <x v="12"/>
    <x v="302"/>
    <x v="1"/>
    <n v="7.5"/>
    <s v="NO PARTICIPA"/>
  </r>
  <r>
    <n v="289157034"/>
    <x v="2"/>
    <x v="0"/>
    <x v="0"/>
    <n v="82.33"/>
    <n v="4"/>
    <n v="329.32"/>
    <x v="34"/>
    <x v="162"/>
    <x v="0"/>
    <n v="7.5"/>
    <s v="PARTICIPA"/>
  </r>
  <r>
    <n v="266766436"/>
    <x v="0"/>
    <x v="0"/>
    <x v="4"/>
    <n v="38.6"/>
    <n v="3"/>
    <n v="115.80000000000001"/>
    <x v="8"/>
    <x v="97"/>
    <x v="1"/>
    <n v="7.5"/>
    <s v="PARTICIPA"/>
  </r>
  <r>
    <n v="856662701"/>
    <x v="2"/>
    <x v="0"/>
    <x v="5"/>
    <n v="53.3"/>
    <n v="3"/>
    <n v="159.89999999999998"/>
    <x v="39"/>
    <x v="303"/>
    <x v="1"/>
    <n v="7.5"/>
    <s v="PARTICIPA"/>
  </r>
  <r>
    <n v="665639737"/>
    <x v="0"/>
    <x v="1"/>
    <x v="3"/>
    <n v="52.42"/>
    <n v="3"/>
    <n v="157.26"/>
    <x v="61"/>
    <x v="159"/>
    <x v="1"/>
    <n v="7.5"/>
    <s v="NO PARTICIPA"/>
  </r>
  <r>
    <n v="305032383"/>
    <x v="2"/>
    <x v="1"/>
    <x v="4"/>
    <n v="67.099999999999994"/>
    <n v="3"/>
    <n v="201.29999999999998"/>
    <x v="0"/>
    <x v="210"/>
    <x v="2"/>
    <n v="7.5"/>
    <s v="NO PARTICIPA"/>
  </r>
  <r>
    <n v="291556563"/>
    <x v="2"/>
    <x v="0"/>
    <x v="5"/>
    <n v="34.42"/>
    <n v="6"/>
    <n v="206.52"/>
    <x v="44"/>
    <x v="89"/>
    <x v="1"/>
    <n v="7.5"/>
    <s v="PARTICIPA"/>
  </r>
  <r>
    <n v="377797592"/>
    <x v="1"/>
    <x v="0"/>
    <x v="2"/>
    <n v="44.84"/>
    <n v="9"/>
    <n v="403.56000000000006"/>
    <x v="14"/>
    <x v="304"/>
    <x v="0"/>
    <n v="7.5"/>
    <s v="PARTICIPA"/>
  </r>
  <r>
    <n v="433087822"/>
    <x v="1"/>
    <x v="1"/>
    <x v="1"/>
    <n v="78.89"/>
    <n v="7"/>
    <n v="552.23"/>
    <x v="27"/>
    <x v="54"/>
    <x v="1"/>
    <n v="7.5"/>
    <s v="NO PARTICIPA"/>
  </r>
  <r>
    <n v="631413108"/>
    <x v="2"/>
    <x v="1"/>
    <x v="5"/>
    <n v="46.33"/>
    <n v="7"/>
    <n v="324.31"/>
    <x v="43"/>
    <x v="305"/>
    <x v="0"/>
    <n v="7.4"/>
    <s v="NO PARTICIPA"/>
  </r>
  <r>
    <n v="848627243"/>
    <x v="2"/>
    <x v="1"/>
    <x v="1"/>
    <n v="24.89"/>
    <n v="9"/>
    <n v="224.01"/>
    <x v="28"/>
    <x v="112"/>
    <x v="2"/>
    <n v="7.4"/>
    <s v="NO PARTICIPA"/>
  </r>
  <r>
    <n v="733019107"/>
    <x v="1"/>
    <x v="1"/>
    <x v="5"/>
    <n v="82.7"/>
    <n v="6"/>
    <n v="496.20000000000005"/>
    <x v="58"/>
    <x v="49"/>
    <x v="2"/>
    <n v="7.4"/>
    <s v="NO PARTICIPA"/>
  </r>
  <r>
    <n v="630745166"/>
    <x v="2"/>
    <x v="1"/>
    <x v="0"/>
    <n v="62.13"/>
    <n v="6"/>
    <n v="372.78000000000003"/>
    <x v="66"/>
    <x v="306"/>
    <x v="2"/>
    <n v="7.4"/>
    <s v="NO PARTICIPA"/>
  </r>
  <r>
    <n v="695510018"/>
    <x v="1"/>
    <x v="1"/>
    <x v="0"/>
    <n v="34.840000000000003"/>
    <n v="4"/>
    <n v="139.36000000000001"/>
    <x v="11"/>
    <x v="307"/>
    <x v="2"/>
    <n v="7.4"/>
    <s v="NO PARTICIPA"/>
  </r>
  <r>
    <n v="746940204"/>
    <x v="2"/>
    <x v="1"/>
    <x v="3"/>
    <n v="83.24"/>
    <n v="9"/>
    <n v="749.16"/>
    <x v="70"/>
    <x v="308"/>
    <x v="0"/>
    <n v="7.4"/>
    <s v="NO PARTICIPA"/>
  </r>
  <r>
    <n v="721866247"/>
    <x v="2"/>
    <x v="1"/>
    <x v="5"/>
    <n v="63.42"/>
    <n v="8"/>
    <n v="507.36"/>
    <x v="64"/>
    <x v="114"/>
    <x v="1"/>
    <n v="7.4"/>
    <s v="NO PARTICIPA"/>
  </r>
  <r>
    <n v="612365536"/>
    <x v="2"/>
    <x v="0"/>
    <x v="4"/>
    <n v="80.959999999999994"/>
    <n v="8"/>
    <n v="647.67999999999995"/>
    <x v="5"/>
    <x v="259"/>
    <x v="0"/>
    <n v="7.4"/>
    <s v="PARTICIPA"/>
  </r>
  <r>
    <n v="583414548"/>
    <x v="0"/>
    <x v="1"/>
    <x v="5"/>
    <n v="16.670000000000002"/>
    <n v="7"/>
    <n v="116.69000000000001"/>
    <x v="9"/>
    <x v="152"/>
    <x v="1"/>
    <n v="7.4"/>
    <s v="NO PARTICIPA"/>
  </r>
  <r>
    <n v="778897974"/>
    <x v="1"/>
    <x v="1"/>
    <x v="1"/>
    <n v="70.209999999999994"/>
    <n v="6"/>
    <n v="421.26"/>
    <x v="44"/>
    <x v="309"/>
    <x v="2"/>
    <n v="7.4"/>
    <s v="NO PARTICIPA"/>
  </r>
  <r>
    <n v="592461692"/>
    <x v="1"/>
    <x v="0"/>
    <x v="4"/>
    <n v="36.770000000000003"/>
    <n v="7"/>
    <n v="257.39000000000004"/>
    <x v="56"/>
    <x v="310"/>
    <x v="2"/>
    <n v="7.4"/>
    <s v="PARTICIPA"/>
  </r>
  <r>
    <n v="434359162"/>
    <x v="0"/>
    <x v="0"/>
    <x v="4"/>
    <n v="23.34"/>
    <n v="4"/>
    <n v="93.36"/>
    <x v="22"/>
    <x v="123"/>
    <x v="1"/>
    <n v="7.4"/>
    <s v="PARTICIPA"/>
  </r>
  <r>
    <n v="288383758"/>
    <x v="1"/>
    <x v="0"/>
    <x v="3"/>
    <n v="84.87"/>
    <n v="3"/>
    <n v="254.61"/>
    <x v="39"/>
    <x v="311"/>
    <x v="1"/>
    <n v="7.4"/>
    <s v="PARTICIPA"/>
  </r>
  <r>
    <n v="361852571"/>
    <x v="2"/>
    <x v="1"/>
    <x v="0"/>
    <n v="89.48"/>
    <n v="5"/>
    <n v="447.40000000000003"/>
    <x v="44"/>
    <x v="109"/>
    <x v="2"/>
    <n v="7.4"/>
    <s v="NO PARTICIPA"/>
  </r>
  <r>
    <n v="593085916"/>
    <x v="2"/>
    <x v="1"/>
    <x v="3"/>
    <n v="15.5"/>
    <n v="1"/>
    <n v="15.5"/>
    <x v="12"/>
    <x v="312"/>
    <x v="0"/>
    <n v="7.4"/>
    <s v="NO PARTICIPA"/>
  </r>
  <r>
    <n v="139324183"/>
    <x v="2"/>
    <x v="0"/>
    <x v="0"/>
    <n v="97.48"/>
    <n v="9"/>
    <n v="877.32"/>
    <x v="62"/>
    <x v="303"/>
    <x v="1"/>
    <n v="7.4"/>
    <s v="PARTICIPA"/>
  </r>
  <r>
    <n v="633448566"/>
    <x v="2"/>
    <x v="0"/>
    <x v="4"/>
    <n v="49.38"/>
    <n v="7"/>
    <n v="345.66"/>
    <x v="2"/>
    <x v="313"/>
    <x v="0"/>
    <n v="7.3"/>
    <s v="PARTICIPA"/>
  </r>
  <r>
    <n v="704483927"/>
    <x v="2"/>
    <x v="0"/>
    <x v="2"/>
    <n v="88.67"/>
    <n v="10"/>
    <n v="886.7"/>
    <x v="76"/>
    <x v="314"/>
    <x v="1"/>
    <n v="7.3"/>
    <s v="PARTICIPA"/>
  </r>
  <r>
    <n v="268276179"/>
    <x v="1"/>
    <x v="0"/>
    <x v="3"/>
    <n v="56.47"/>
    <n v="8"/>
    <n v="451.76"/>
    <x v="25"/>
    <x v="315"/>
    <x v="1"/>
    <n v="7.3"/>
    <s v="PARTICIPA"/>
  </r>
  <r>
    <n v="584867256"/>
    <x v="0"/>
    <x v="0"/>
    <x v="0"/>
    <n v="34.56"/>
    <n v="7"/>
    <n v="241.92000000000002"/>
    <x v="64"/>
    <x v="316"/>
    <x v="0"/>
    <n v="7.3"/>
    <s v="PARTICIPA"/>
  </r>
  <r>
    <n v="428835800"/>
    <x v="0"/>
    <x v="0"/>
    <x v="4"/>
    <n v="21.08"/>
    <n v="3"/>
    <n v="63.239999999999995"/>
    <x v="93"/>
    <x v="317"/>
    <x v="2"/>
    <n v="7.3"/>
    <s v="PARTICIPA"/>
  </r>
  <r>
    <n v="441947118"/>
    <x v="2"/>
    <x v="0"/>
    <x v="2"/>
    <n v="71.95"/>
    <n v="1"/>
    <n v="71.95"/>
    <x v="22"/>
    <x v="318"/>
    <x v="2"/>
    <n v="7.3"/>
    <s v="PARTICIPA"/>
  </r>
  <r>
    <n v="885176250"/>
    <x v="2"/>
    <x v="1"/>
    <x v="1"/>
    <n v="79.739999999999995"/>
    <n v="1"/>
    <n v="79.739999999999995"/>
    <x v="85"/>
    <x v="210"/>
    <x v="1"/>
    <n v="7.3"/>
    <s v="NO PARTICIPA"/>
  </r>
  <r>
    <n v="325776186"/>
    <x v="2"/>
    <x v="0"/>
    <x v="5"/>
    <n v="90.65"/>
    <n v="10"/>
    <n v="906.5"/>
    <x v="42"/>
    <x v="319"/>
    <x v="1"/>
    <n v="7.3"/>
    <s v="PARTICIPA"/>
  </r>
  <r>
    <n v="709584068"/>
    <x v="1"/>
    <x v="1"/>
    <x v="3"/>
    <n v="41.09"/>
    <n v="10"/>
    <n v="410.90000000000003"/>
    <x v="69"/>
    <x v="127"/>
    <x v="2"/>
    <n v="7.3"/>
    <s v="NO PARTICIPA"/>
  </r>
  <r>
    <n v="451285717"/>
    <x v="0"/>
    <x v="0"/>
    <x v="5"/>
    <n v="83.17"/>
    <n v="6"/>
    <n v="499.02"/>
    <x v="26"/>
    <x v="153"/>
    <x v="2"/>
    <n v="7.3"/>
    <s v="PARTICIPA"/>
  </r>
  <r>
    <n v="213321216"/>
    <x v="2"/>
    <x v="1"/>
    <x v="2"/>
    <n v="66.06"/>
    <n v="6"/>
    <n v="396.36"/>
    <x v="23"/>
    <x v="320"/>
    <x v="2"/>
    <n v="7.3"/>
    <s v="NO PARTICIPA"/>
  </r>
  <r>
    <n v="174750888"/>
    <x v="1"/>
    <x v="1"/>
    <x v="2"/>
    <n v="21.58"/>
    <n v="9"/>
    <n v="194.21999999999997"/>
    <x v="62"/>
    <x v="321"/>
    <x v="2"/>
    <n v="7.3"/>
    <s v="NO PARTICIPA"/>
  </r>
  <r>
    <n v="390316381"/>
    <x v="0"/>
    <x v="1"/>
    <x v="4"/>
    <n v="27.22"/>
    <n v="3"/>
    <n v="81.66"/>
    <x v="6"/>
    <x v="186"/>
    <x v="2"/>
    <n v="7.3"/>
    <s v="NO PARTICIPA"/>
  </r>
  <r>
    <n v="742045161"/>
    <x v="2"/>
    <x v="0"/>
    <x v="5"/>
    <n v="72.78"/>
    <n v="10"/>
    <n v="727.8"/>
    <x v="1"/>
    <x v="216"/>
    <x v="2"/>
    <n v="7.3"/>
    <s v="PARTICIPA"/>
  </r>
  <r>
    <n v="752233760"/>
    <x v="0"/>
    <x v="0"/>
    <x v="0"/>
    <n v="64.08"/>
    <n v="7"/>
    <n v="448.56"/>
    <x v="68"/>
    <x v="322"/>
    <x v="0"/>
    <n v="7.3"/>
    <s v="PARTICIPA"/>
  </r>
  <r>
    <n v="176781170"/>
    <x v="1"/>
    <x v="0"/>
    <x v="1"/>
    <n v="33.81"/>
    <n v="3"/>
    <n v="101.43"/>
    <x v="37"/>
    <x v="323"/>
    <x v="1"/>
    <n v="7.3"/>
    <s v="PARTICIPA"/>
  </r>
  <r>
    <n v="313669943"/>
    <x v="0"/>
    <x v="0"/>
    <x v="4"/>
    <n v="29.15"/>
    <n v="3"/>
    <n v="87.449999999999989"/>
    <x v="2"/>
    <x v="66"/>
    <x v="0"/>
    <n v="7.3"/>
    <s v="PARTICIPA"/>
  </r>
  <r>
    <n v="489821237"/>
    <x v="2"/>
    <x v="1"/>
    <x v="2"/>
    <n v="93.88"/>
    <n v="7"/>
    <n v="657.16"/>
    <x v="27"/>
    <x v="278"/>
    <x v="0"/>
    <n v="7.3"/>
    <s v="NO PARTICIPA"/>
  </r>
  <r>
    <n v="665329167"/>
    <x v="2"/>
    <x v="0"/>
    <x v="1"/>
    <n v="36.26"/>
    <n v="2"/>
    <n v="72.52"/>
    <x v="94"/>
    <x v="324"/>
    <x v="0"/>
    <n v="7.2"/>
    <s v="PARTICIPA"/>
  </r>
  <r>
    <n v="617154209"/>
    <x v="0"/>
    <x v="0"/>
    <x v="1"/>
    <n v="15.37"/>
    <n v="2"/>
    <n v="30.74"/>
    <x v="65"/>
    <x v="325"/>
    <x v="2"/>
    <n v="7.2"/>
    <s v="PARTICIPA"/>
  </r>
  <r>
    <n v="594344444"/>
    <x v="2"/>
    <x v="1"/>
    <x v="2"/>
    <n v="97.16"/>
    <n v="1"/>
    <n v="97.16"/>
    <x v="42"/>
    <x v="326"/>
    <x v="1"/>
    <n v="7.2"/>
    <s v="NO PARTICIPA"/>
  </r>
  <r>
    <n v="189982939"/>
    <x v="0"/>
    <x v="1"/>
    <x v="3"/>
    <n v="78.55"/>
    <n v="9"/>
    <n v="706.94999999999993"/>
    <x v="29"/>
    <x v="57"/>
    <x v="2"/>
    <n v="7.2"/>
    <s v="NO PARTICIPA"/>
  </r>
  <r>
    <n v="549847482"/>
    <x v="1"/>
    <x v="1"/>
    <x v="0"/>
    <n v="90.28"/>
    <n v="9"/>
    <n v="812.52"/>
    <x v="83"/>
    <x v="5"/>
    <x v="1"/>
    <n v="7.2"/>
    <s v="NO PARTICIPA"/>
  </r>
  <r>
    <n v="284349626"/>
    <x v="1"/>
    <x v="1"/>
    <x v="5"/>
    <n v="77.040000000000006"/>
    <n v="3"/>
    <n v="231.12"/>
    <x v="89"/>
    <x v="213"/>
    <x v="0"/>
    <n v="7.2"/>
    <s v="NO PARTICIPA"/>
  </r>
  <r>
    <n v="883174236"/>
    <x v="0"/>
    <x v="1"/>
    <x v="0"/>
    <n v="14.39"/>
    <n v="2"/>
    <n v="28.78"/>
    <x v="1"/>
    <x v="32"/>
    <x v="0"/>
    <n v="7.2"/>
    <s v="NO PARTICIPA"/>
  </r>
  <r>
    <n v="462679126"/>
    <x v="2"/>
    <x v="1"/>
    <x v="5"/>
    <n v="73.22"/>
    <n v="6"/>
    <n v="439.32"/>
    <x v="75"/>
    <x v="225"/>
    <x v="2"/>
    <n v="7.2"/>
    <s v="NO PARTICIPA"/>
  </r>
  <r>
    <n v="563369814"/>
    <x v="2"/>
    <x v="0"/>
    <x v="2"/>
    <n v="76.819999999999993"/>
    <n v="1"/>
    <n v="76.819999999999993"/>
    <x v="59"/>
    <x v="203"/>
    <x v="1"/>
    <n v="7.2"/>
    <s v="PARTICIPA"/>
  </r>
  <r>
    <n v="746190921"/>
    <x v="0"/>
    <x v="1"/>
    <x v="4"/>
    <n v="21.58"/>
    <n v="1"/>
    <n v="21.58"/>
    <x v="93"/>
    <x v="23"/>
    <x v="1"/>
    <n v="7.2"/>
    <s v="NO PARTICIPA"/>
  </r>
  <r>
    <n v="510095628"/>
    <x v="2"/>
    <x v="0"/>
    <x v="3"/>
    <n v="19.66"/>
    <n v="10"/>
    <n v="196.6"/>
    <x v="28"/>
    <x v="327"/>
    <x v="0"/>
    <n v="7.2"/>
    <s v="PARTICIPA"/>
  </r>
  <r>
    <n v="435134908"/>
    <x v="2"/>
    <x v="0"/>
    <x v="3"/>
    <n v="86.68"/>
    <n v="8"/>
    <n v="693.44"/>
    <x v="77"/>
    <x v="96"/>
    <x v="0"/>
    <n v="7.2"/>
    <s v="PARTICIPA"/>
  </r>
  <r>
    <n v="789238625"/>
    <x v="0"/>
    <x v="0"/>
    <x v="3"/>
    <n v="93.22"/>
    <n v="3"/>
    <n v="279.65999999999997"/>
    <x v="77"/>
    <x v="328"/>
    <x v="2"/>
    <n v="7.2"/>
    <s v="PARTICIPA"/>
  </r>
  <r>
    <n v="183213799"/>
    <x v="1"/>
    <x v="1"/>
    <x v="2"/>
    <n v="77.63"/>
    <n v="9"/>
    <n v="698.67"/>
    <x v="68"/>
    <x v="329"/>
    <x v="1"/>
    <n v="7.2"/>
    <s v="NO PARTICIPA"/>
  </r>
  <r>
    <n v="788215741"/>
    <x v="2"/>
    <x v="1"/>
    <x v="3"/>
    <n v="45.38"/>
    <n v="3"/>
    <n v="136.14000000000001"/>
    <x v="5"/>
    <x v="330"/>
    <x v="0"/>
    <n v="7.2"/>
    <s v="NO PARTICIPA"/>
  </r>
  <r>
    <n v="389702397"/>
    <x v="1"/>
    <x v="1"/>
    <x v="1"/>
    <n v="83.66"/>
    <n v="5"/>
    <n v="418.29999999999995"/>
    <x v="63"/>
    <x v="331"/>
    <x v="2"/>
    <n v="7.2"/>
    <s v="NO PARTICIPA"/>
  </r>
  <r>
    <n v="825945922"/>
    <x v="0"/>
    <x v="1"/>
    <x v="0"/>
    <n v="25.31"/>
    <n v="2"/>
    <n v="50.62"/>
    <x v="1"/>
    <x v="332"/>
    <x v="1"/>
    <n v="7.2"/>
    <s v="NO PARTICIPA"/>
  </r>
  <r>
    <n v="558605016"/>
    <x v="2"/>
    <x v="1"/>
    <x v="5"/>
    <n v="33.299999999999997"/>
    <n v="9"/>
    <n v="299.7"/>
    <x v="80"/>
    <x v="209"/>
    <x v="1"/>
    <n v="7.2"/>
    <s v="NO PARTICIPA"/>
  </r>
  <r>
    <n v="365640515"/>
    <x v="2"/>
    <x v="1"/>
    <x v="2"/>
    <n v="46.95"/>
    <n v="5"/>
    <n v="234.75"/>
    <x v="84"/>
    <x v="317"/>
    <x v="1"/>
    <n v="7.1"/>
    <s v="NO PARTICIPA"/>
  </r>
  <r>
    <n v="565805980"/>
    <x v="0"/>
    <x v="0"/>
    <x v="5"/>
    <n v="47.38"/>
    <n v="4"/>
    <n v="189.52"/>
    <x v="23"/>
    <x v="317"/>
    <x v="2"/>
    <n v="7.1"/>
    <s v="PARTICIPA"/>
  </r>
  <r>
    <n v="225981496"/>
    <x v="0"/>
    <x v="1"/>
    <x v="3"/>
    <n v="27.02"/>
    <n v="3"/>
    <n v="81.06"/>
    <x v="1"/>
    <x v="277"/>
    <x v="0"/>
    <n v="7.1"/>
    <s v="NO PARTICIPA"/>
  </r>
  <r>
    <n v="526868552"/>
    <x v="0"/>
    <x v="0"/>
    <x v="5"/>
    <n v="21.82"/>
    <n v="10"/>
    <n v="218.2"/>
    <x v="6"/>
    <x v="159"/>
    <x v="2"/>
    <n v="7.1"/>
    <s v="PARTICIPA"/>
  </r>
  <r>
    <n v="316686352"/>
    <x v="2"/>
    <x v="0"/>
    <x v="4"/>
    <n v="36.36"/>
    <n v="2"/>
    <n v="72.72"/>
    <x v="75"/>
    <x v="296"/>
    <x v="2"/>
    <n v="7.1"/>
    <s v="PARTICIPA"/>
  </r>
  <r>
    <n v="272279238"/>
    <x v="0"/>
    <x v="1"/>
    <x v="4"/>
    <n v="41.24"/>
    <n v="4"/>
    <n v="164.96"/>
    <x v="68"/>
    <x v="160"/>
    <x v="2"/>
    <n v="7.1"/>
    <s v="NO PARTICIPA"/>
  </r>
  <r>
    <n v="878302331"/>
    <x v="0"/>
    <x v="0"/>
    <x v="0"/>
    <n v="54.55"/>
    <n v="10"/>
    <n v="545.5"/>
    <x v="1"/>
    <x v="333"/>
    <x v="0"/>
    <n v="7.1"/>
    <s v="PARTICIPA"/>
  </r>
  <r>
    <n v="437533084"/>
    <x v="1"/>
    <x v="1"/>
    <x v="3"/>
    <n v="99.89"/>
    <n v="2"/>
    <n v="199.78"/>
    <x v="90"/>
    <x v="194"/>
    <x v="1"/>
    <n v="7.1"/>
    <s v="NO PARTICIPA"/>
  </r>
  <r>
    <n v="719898991"/>
    <x v="2"/>
    <x v="0"/>
    <x v="0"/>
    <n v="91.41"/>
    <n v="5"/>
    <n v="457.04999999999995"/>
    <x v="4"/>
    <x v="334"/>
    <x v="1"/>
    <n v="7.1"/>
    <s v="PARTICIPA"/>
  </r>
  <r>
    <n v="343870864"/>
    <x v="0"/>
    <x v="0"/>
    <x v="1"/>
    <n v="75.88"/>
    <n v="1"/>
    <n v="75.88"/>
    <x v="29"/>
    <x v="335"/>
    <x v="0"/>
    <n v="7.1"/>
    <s v="PARTICIPA"/>
  </r>
  <r>
    <n v="740115257"/>
    <x v="1"/>
    <x v="1"/>
    <x v="2"/>
    <n v="24.74"/>
    <n v="10"/>
    <n v="247.39999999999998"/>
    <x v="79"/>
    <x v="8"/>
    <x v="2"/>
    <n v="7.1"/>
    <s v="NO PARTICIPA"/>
  </r>
  <r>
    <n v="370960655"/>
    <x v="1"/>
    <x v="1"/>
    <x v="3"/>
    <n v="49.32"/>
    <n v="6"/>
    <n v="295.92"/>
    <x v="91"/>
    <x v="336"/>
    <x v="1"/>
    <n v="7.1"/>
    <s v="NO PARTICIPA"/>
  </r>
  <r>
    <n v="418050656"/>
    <x v="0"/>
    <x v="1"/>
    <x v="3"/>
    <n v="25.56"/>
    <n v="7"/>
    <n v="178.92"/>
    <x v="13"/>
    <x v="337"/>
    <x v="2"/>
    <n v="7.1"/>
    <s v="NO PARTICIPA"/>
  </r>
  <r>
    <n v="873146353"/>
    <x v="2"/>
    <x v="0"/>
    <x v="4"/>
    <n v="24.82"/>
    <n v="7"/>
    <n v="173.74"/>
    <x v="55"/>
    <x v="338"/>
    <x v="0"/>
    <n v="7.1"/>
    <s v="PARTICIPA"/>
  </r>
  <r>
    <n v="641627288"/>
    <x v="0"/>
    <x v="1"/>
    <x v="5"/>
    <n v="99.92"/>
    <n v="6"/>
    <n v="599.52"/>
    <x v="48"/>
    <x v="339"/>
    <x v="1"/>
    <n v="7.1"/>
    <s v="NO PARTICIPA"/>
  </r>
  <r>
    <n v="430023888"/>
    <x v="0"/>
    <x v="1"/>
    <x v="2"/>
    <n v="46.02"/>
    <n v="6"/>
    <n v="276.12"/>
    <x v="9"/>
    <x v="141"/>
    <x v="2"/>
    <n v="7.1"/>
    <s v="NO PARTICIPA"/>
  </r>
  <r>
    <n v="129298530"/>
    <x v="2"/>
    <x v="0"/>
    <x v="0"/>
    <n v="62.62"/>
    <n v="5"/>
    <n v="313.09999999999997"/>
    <x v="82"/>
    <x v="340"/>
    <x v="1"/>
    <n v="7"/>
    <s v="PARTICIPA"/>
  </r>
  <r>
    <n v="803835989"/>
    <x v="0"/>
    <x v="1"/>
    <x v="5"/>
    <n v="55.73"/>
    <n v="6"/>
    <n v="334.38"/>
    <x v="79"/>
    <x v="88"/>
    <x v="1"/>
    <n v="7"/>
    <s v="NO PARTICIPA"/>
  </r>
  <r>
    <n v="101176199"/>
    <x v="2"/>
    <x v="1"/>
    <x v="4"/>
    <n v="45.79"/>
    <n v="7"/>
    <n v="320.52999999999997"/>
    <x v="49"/>
    <x v="32"/>
    <x v="0"/>
    <n v="7"/>
    <s v="NO PARTICIPA"/>
  </r>
  <r>
    <n v="732045373"/>
    <x v="1"/>
    <x v="0"/>
    <x v="5"/>
    <n v="46.47"/>
    <n v="4"/>
    <n v="185.88"/>
    <x v="83"/>
    <x v="319"/>
    <x v="2"/>
    <n v="7"/>
    <s v="PARTICIPA"/>
  </r>
  <r>
    <n v="731142199"/>
    <x v="2"/>
    <x v="0"/>
    <x v="5"/>
    <n v="35.54"/>
    <n v="10"/>
    <n v="355.4"/>
    <x v="33"/>
    <x v="330"/>
    <x v="1"/>
    <n v="7"/>
    <s v="PARTICIPA"/>
  </r>
  <r>
    <n v="139200155"/>
    <x v="1"/>
    <x v="0"/>
    <x v="2"/>
    <n v="40.299999999999997"/>
    <n v="10"/>
    <n v="403"/>
    <x v="77"/>
    <x v="341"/>
    <x v="0"/>
    <n v="7"/>
    <s v="PARTICIPA"/>
  </r>
  <r>
    <n v="667235919"/>
    <x v="2"/>
    <x v="0"/>
    <x v="3"/>
    <n v="96.7"/>
    <n v="5"/>
    <n v="483.5"/>
    <x v="14"/>
    <x v="110"/>
    <x v="1"/>
    <n v="7"/>
    <s v="PARTICIPA"/>
  </r>
  <r>
    <n v="198847132"/>
    <x v="1"/>
    <x v="0"/>
    <x v="3"/>
    <n v="40.61"/>
    <n v="9"/>
    <n v="365.49"/>
    <x v="92"/>
    <x v="1"/>
    <x v="2"/>
    <n v="7"/>
    <s v="PARTICIPA"/>
  </r>
  <r>
    <n v="549964200"/>
    <x v="0"/>
    <x v="0"/>
    <x v="4"/>
    <n v="17.04"/>
    <n v="4"/>
    <n v="68.16"/>
    <x v="42"/>
    <x v="342"/>
    <x v="1"/>
    <n v="7"/>
    <s v="PARTICIPA"/>
  </r>
  <r>
    <n v="493656248"/>
    <x v="0"/>
    <x v="0"/>
    <x v="0"/>
    <n v="36.979999999999997"/>
    <n v="10"/>
    <n v="369.79999999999995"/>
    <x v="74"/>
    <x v="54"/>
    <x v="0"/>
    <n v="7"/>
    <s v="PARTICIPA"/>
  </r>
  <r>
    <n v="291215991"/>
    <x v="1"/>
    <x v="0"/>
    <x v="1"/>
    <n v="61.29"/>
    <n v="5"/>
    <n v="306.45"/>
    <x v="24"/>
    <x v="343"/>
    <x v="2"/>
    <n v="7"/>
    <s v="PARTICIPA"/>
  </r>
  <r>
    <n v="287831405"/>
    <x v="2"/>
    <x v="1"/>
    <x v="1"/>
    <n v="25.43"/>
    <n v="6"/>
    <n v="152.57999999999998"/>
    <x v="84"/>
    <x v="234"/>
    <x v="1"/>
    <n v="7"/>
    <s v="NO PARTICIPA"/>
  </r>
  <r>
    <n v="375723056"/>
    <x v="1"/>
    <x v="1"/>
    <x v="0"/>
    <n v="63.06"/>
    <n v="3"/>
    <n v="189.18"/>
    <x v="21"/>
    <x v="344"/>
    <x v="1"/>
    <n v="7"/>
    <s v="NO PARTICIPA"/>
  </r>
  <r>
    <n v="589028023"/>
    <x v="2"/>
    <x v="0"/>
    <x v="4"/>
    <n v="83.77"/>
    <n v="2"/>
    <n v="167.54"/>
    <x v="38"/>
    <x v="108"/>
    <x v="0"/>
    <n v="7"/>
    <s v="PARTICIPA"/>
  </r>
  <r>
    <n v="320852052"/>
    <x v="0"/>
    <x v="1"/>
    <x v="0"/>
    <n v="34.81"/>
    <n v="1"/>
    <n v="34.81"/>
    <x v="14"/>
    <x v="261"/>
    <x v="0"/>
    <n v="7"/>
    <s v="NO PARTICIPA"/>
  </r>
  <r>
    <n v="807147833"/>
    <x v="2"/>
    <x v="0"/>
    <x v="2"/>
    <n v="17.420000000000002"/>
    <n v="10"/>
    <n v="174.20000000000002"/>
    <x v="46"/>
    <x v="345"/>
    <x v="1"/>
    <n v="7"/>
    <s v="PARTICIPA"/>
  </r>
  <r>
    <n v="848956252"/>
    <x v="1"/>
    <x v="0"/>
    <x v="5"/>
    <n v="86.27"/>
    <n v="1"/>
    <n v="86.27"/>
    <x v="3"/>
    <x v="287"/>
    <x v="1"/>
    <n v="7"/>
    <s v="PARTICIPA"/>
  </r>
  <r>
    <n v="533665566"/>
    <x v="0"/>
    <x v="1"/>
    <x v="5"/>
    <n v="51.07"/>
    <n v="7"/>
    <n v="357.49"/>
    <x v="76"/>
    <x v="346"/>
    <x v="2"/>
    <n v="7"/>
    <s v="NO PARTICIPA"/>
  </r>
  <r>
    <n v="181826255"/>
    <x v="0"/>
    <x v="1"/>
    <x v="5"/>
    <n v="16.37"/>
    <n v="6"/>
    <n v="98.22"/>
    <x v="52"/>
    <x v="347"/>
    <x v="2"/>
    <n v="7"/>
    <s v="NO PARTICIPA"/>
  </r>
  <r>
    <n v="883691285"/>
    <x v="0"/>
    <x v="0"/>
    <x v="3"/>
    <n v="49.92"/>
    <n v="2"/>
    <n v="99.84"/>
    <x v="58"/>
    <x v="348"/>
    <x v="0"/>
    <n v="7"/>
    <s v="PARTICIPA"/>
  </r>
  <r>
    <n v="765266951"/>
    <x v="2"/>
    <x v="1"/>
    <x v="0"/>
    <n v="72.61"/>
    <n v="6"/>
    <n v="435.65999999999997"/>
    <x v="74"/>
    <x v="213"/>
    <x v="0"/>
    <n v="6.9"/>
    <s v="NO PARTICIPA"/>
  </r>
  <r>
    <n v="380944661"/>
    <x v="0"/>
    <x v="0"/>
    <x v="2"/>
    <n v="65.94"/>
    <n v="4"/>
    <n v="263.76"/>
    <x v="9"/>
    <x v="102"/>
    <x v="0"/>
    <n v="6.9"/>
    <s v="PARTICIPA"/>
  </r>
  <r>
    <n v="808650703"/>
    <x v="0"/>
    <x v="1"/>
    <x v="5"/>
    <n v="35.47"/>
    <n v="4"/>
    <n v="141.88"/>
    <x v="62"/>
    <x v="349"/>
    <x v="0"/>
    <n v="6.9"/>
    <s v="NO PARTICIPA"/>
  </r>
  <r>
    <n v="593954461"/>
    <x v="0"/>
    <x v="0"/>
    <x v="5"/>
    <n v="74.86"/>
    <n v="1"/>
    <n v="74.86"/>
    <x v="48"/>
    <x v="350"/>
    <x v="2"/>
    <n v="6.9"/>
    <s v="PARTICIPA"/>
  </r>
  <r>
    <n v="569714390"/>
    <x v="1"/>
    <x v="1"/>
    <x v="0"/>
    <n v="21.87"/>
    <n v="2"/>
    <n v="43.74"/>
    <x v="39"/>
    <x v="41"/>
    <x v="1"/>
    <n v="6.9"/>
    <s v="NO PARTICIPA"/>
  </r>
  <r>
    <n v="741733559"/>
    <x v="1"/>
    <x v="1"/>
    <x v="0"/>
    <n v="67.27"/>
    <n v="5"/>
    <n v="336.34999999999997"/>
    <x v="61"/>
    <x v="132"/>
    <x v="2"/>
    <n v="6.9"/>
    <s v="NO PARTICIPA"/>
  </r>
  <r>
    <n v="286757818"/>
    <x v="1"/>
    <x v="1"/>
    <x v="3"/>
    <n v="69.08"/>
    <n v="2"/>
    <n v="138.16"/>
    <x v="35"/>
    <x v="54"/>
    <x v="0"/>
    <n v="6.9"/>
    <s v="NO PARTICIPA"/>
  </r>
  <r>
    <n v="767541907"/>
    <x v="1"/>
    <x v="0"/>
    <x v="3"/>
    <n v="29.56"/>
    <n v="5"/>
    <n v="147.79999999999998"/>
    <x v="59"/>
    <x v="351"/>
    <x v="2"/>
    <n v="6.9"/>
    <s v="PARTICIPA"/>
  </r>
  <r>
    <n v="643387867"/>
    <x v="2"/>
    <x v="1"/>
    <x v="5"/>
    <n v="97.94"/>
    <n v="1"/>
    <n v="97.94"/>
    <x v="32"/>
    <x v="172"/>
    <x v="1"/>
    <n v="6.9"/>
    <s v="NO PARTICIPA"/>
  </r>
  <r>
    <n v="134752619"/>
    <x v="2"/>
    <x v="0"/>
    <x v="2"/>
    <n v="19.32"/>
    <n v="7"/>
    <n v="135.24"/>
    <x v="7"/>
    <x v="264"/>
    <x v="2"/>
    <n v="6.9"/>
    <s v="PARTICIPA"/>
  </r>
  <r>
    <n v="373094567"/>
    <x v="1"/>
    <x v="1"/>
    <x v="4"/>
    <n v="77.56"/>
    <n v="10"/>
    <n v="775.6"/>
    <x v="62"/>
    <x v="313"/>
    <x v="1"/>
    <n v="6.9"/>
    <s v="NO PARTICIPA"/>
  </r>
  <r>
    <n v="327409673"/>
    <x v="0"/>
    <x v="0"/>
    <x v="0"/>
    <n v="72.599999999999994"/>
    <n v="6"/>
    <n v="435.59999999999997"/>
    <x v="64"/>
    <x v="352"/>
    <x v="2"/>
    <n v="6.9"/>
    <s v="PARTICIPA"/>
  </r>
  <r>
    <n v="182527000"/>
    <x v="2"/>
    <x v="0"/>
    <x v="0"/>
    <n v="27.04"/>
    <n v="4"/>
    <n v="108.16"/>
    <x v="74"/>
    <x v="353"/>
    <x v="1"/>
    <n v="6.9"/>
    <s v="PARTICIPA"/>
  </r>
  <r>
    <n v="474338305"/>
    <x v="1"/>
    <x v="0"/>
    <x v="3"/>
    <n v="67.39"/>
    <n v="7"/>
    <n v="471.73"/>
    <x v="53"/>
    <x v="305"/>
    <x v="1"/>
    <n v="6.9"/>
    <s v="PARTICIPA"/>
  </r>
  <r>
    <n v="720722436"/>
    <x v="2"/>
    <x v="1"/>
    <x v="4"/>
    <n v="66.52"/>
    <n v="4"/>
    <n v="266.08"/>
    <x v="1"/>
    <x v="49"/>
    <x v="1"/>
    <n v="6.9"/>
    <s v="NO PARTICIPA"/>
  </r>
  <r>
    <n v="529563974"/>
    <x v="1"/>
    <x v="0"/>
    <x v="2"/>
    <n v="25.51"/>
    <n v="4"/>
    <n v="102.04"/>
    <x v="25"/>
    <x v="354"/>
    <x v="2"/>
    <n v="6.8"/>
    <s v="PARTICIPA"/>
  </r>
  <r>
    <n v="232162483"/>
    <x v="0"/>
    <x v="0"/>
    <x v="0"/>
    <n v="68.12"/>
    <n v="1"/>
    <n v="68.12"/>
    <x v="6"/>
    <x v="117"/>
    <x v="1"/>
    <n v="6.8"/>
    <s v="PARTICIPA"/>
  </r>
  <r>
    <n v="606804905"/>
    <x v="0"/>
    <x v="0"/>
    <x v="0"/>
    <n v="19.149999999999999"/>
    <n v="6"/>
    <n v="114.89999999999999"/>
    <x v="70"/>
    <x v="355"/>
    <x v="0"/>
    <n v="6.8"/>
    <s v="PARTICIPA"/>
  </r>
  <r>
    <n v="604706476"/>
    <x v="2"/>
    <x v="0"/>
    <x v="3"/>
    <n v="17.940000000000001"/>
    <n v="5"/>
    <n v="89.7"/>
    <x v="23"/>
    <x v="356"/>
    <x v="1"/>
    <n v="6.8"/>
    <s v="PARTICIPA"/>
  </r>
  <r>
    <n v="868811752"/>
    <x v="1"/>
    <x v="1"/>
    <x v="5"/>
    <n v="22.02"/>
    <n v="9"/>
    <n v="198.18"/>
    <x v="9"/>
    <x v="357"/>
    <x v="2"/>
    <n v="6.8"/>
    <s v="NO PARTICIPA"/>
  </r>
  <r>
    <n v="837557229"/>
    <x v="1"/>
    <x v="1"/>
    <x v="3"/>
    <n v="47.44"/>
    <n v="1"/>
    <n v="47.44"/>
    <x v="46"/>
    <x v="40"/>
    <x v="0"/>
    <n v="6.8"/>
    <s v="NO PARTICIPA"/>
  </r>
  <r>
    <n v="598067312"/>
    <x v="0"/>
    <x v="0"/>
    <x v="3"/>
    <n v="91.35"/>
    <n v="1"/>
    <n v="91.35"/>
    <x v="55"/>
    <x v="358"/>
    <x v="2"/>
    <n v="6.8"/>
    <s v="PARTICIPA"/>
  </r>
  <r>
    <n v="210749613"/>
    <x v="1"/>
    <x v="1"/>
    <x v="3"/>
    <n v="97.26"/>
    <n v="4"/>
    <n v="389.04"/>
    <x v="65"/>
    <x v="359"/>
    <x v="1"/>
    <n v="6.8"/>
    <s v="NO PARTICIPA"/>
  </r>
  <r>
    <n v="137748729"/>
    <x v="1"/>
    <x v="1"/>
    <x v="3"/>
    <n v="12.19"/>
    <n v="8"/>
    <n v="97.52"/>
    <x v="49"/>
    <x v="246"/>
    <x v="1"/>
    <n v="6.8"/>
    <s v="NO PARTICIPA"/>
  </r>
  <r>
    <n v="453336436"/>
    <x v="2"/>
    <x v="1"/>
    <x v="5"/>
    <n v="93.12"/>
    <n v="8"/>
    <n v="744.96"/>
    <x v="9"/>
    <x v="360"/>
    <x v="2"/>
    <n v="6.8"/>
    <s v="NO PARTICIPA"/>
  </r>
  <r>
    <n v="749818133"/>
    <x v="2"/>
    <x v="1"/>
    <x v="3"/>
    <n v="94.67"/>
    <n v="4"/>
    <n v="378.68"/>
    <x v="64"/>
    <x v="180"/>
    <x v="2"/>
    <n v="6.8"/>
    <s v="NO PARTICIPA"/>
  </r>
  <r>
    <n v="397258725"/>
    <x v="2"/>
    <x v="0"/>
    <x v="1"/>
    <n v="39.619999999999997"/>
    <n v="9"/>
    <n v="356.58"/>
    <x v="64"/>
    <x v="361"/>
    <x v="0"/>
    <n v="6.8"/>
    <s v="PARTICIPA"/>
  </r>
  <r>
    <n v="846100341"/>
    <x v="2"/>
    <x v="1"/>
    <x v="3"/>
    <n v="42.57"/>
    <n v="7"/>
    <n v="297.99"/>
    <x v="15"/>
    <x v="278"/>
    <x v="2"/>
    <n v="6.8"/>
    <s v="NO PARTICIPA"/>
  </r>
  <r>
    <n v="649296775"/>
    <x v="1"/>
    <x v="1"/>
    <x v="3"/>
    <n v="33.520000000000003"/>
    <n v="1"/>
    <n v="33.520000000000003"/>
    <x v="83"/>
    <x v="136"/>
    <x v="2"/>
    <n v="6.7"/>
    <s v="NO PARTICIPA"/>
  </r>
  <r>
    <n v="838784295"/>
    <x v="0"/>
    <x v="1"/>
    <x v="1"/>
    <n v="33.47"/>
    <n v="2"/>
    <n v="66.94"/>
    <x v="11"/>
    <x v="362"/>
    <x v="1"/>
    <n v="6.7"/>
    <s v="NO PARTICIPA"/>
  </r>
  <r>
    <n v="586250848"/>
    <x v="2"/>
    <x v="1"/>
    <x v="0"/>
    <n v="12.34"/>
    <n v="7"/>
    <n v="86.38"/>
    <x v="87"/>
    <x v="363"/>
    <x v="0"/>
    <n v="6.7"/>
    <s v="NO PARTICIPA"/>
  </r>
  <r>
    <n v="269045750"/>
    <x v="1"/>
    <x v="0"/>
    <x v="3"/>
    <n v="73.819999999999993"/>
    <n v="4"/>
    <n v="295.27999999999997"/>
    <x v="63"/>
    <x v="364"/>
    <x v="2"/>
    <n v="6.7"/>
    <s v="PARTICIPA"/>
  </r>
  <r>
    <n v="446476729"/>
    <x v="0"/>
    <x v="1"/>
    <x v="3"/>
    <n v="99.82"/>
    <n v="2"/>
    <n v="199.64"/>
    <x v="92"/>
    <x v="365"/>
    <x v="0"/>
    <n v="6.7"/>
    <s v="NO PARTICIPA"/>
  </r>
  <r>
    <n v="563917120"/>
    <x v="2"/>
    <x v="1"/>
    <x v="3"/>
    <n v="61.77"/>
    <n v="5"/>
    <n v="308.85000000000002"/>
    <x v="42"/>
    <x v="27"/>
    <x v="2"/>
    <n v="6.7"/>
    <s v="NO PARTICIPA"/>
  </r>
  <r>
    <n v="301818610"/>
    <x v="1"/>
    <x v="0"/>
    <x v="3"/>
    <n v="25.42"/>
    <n v="8"/>
    <n v="203.36"/>
    <x v="12"/>
    <x v="366"/>
    <x v="0"/>
    <n v="6.7"/>
    <s v="PARTICIPA"/>
  </r>
  <r>
    <n v="891017034"/>
    <x v="1"/>
    <x v="1"/>
    <x v="2"/>
    <n v="74.709999999999994"/>
    <n v="6"/>
    <n v="448.26"/>
    <x v="74"/>
    <x v="272"/>
    <x v="2"/>
    <n v="6.7"/>
    <s v="NO PARTICIPA"/>
  </r>
  <r>
    <n v="701698742"/>
    <x v="1"/>
    <x v="1"/>
    <x v="0"/>
    <n v="34.369999999999997"/>
    <n v="10"/>
    <n v="343.7"/>
    <x v="65"/>
    <x v="261"/>
    <x v="1"/>
    <n v="6.7"/>
    <s v="NO PARTICIPA"/>
  </r>
  <r>
    <n v="575671508"/>
    <x v="2"/>
    <x v="1"/>
    <x v="2"/>
    <n v="38.6"/>
    <n v="1"/>
    <n v="38.6"/>
    <x v="70"/>
    <x v="158"/>
    <x v="1"/>
    <n v="6.7"/>
    <s v="NO PARTICIPA"/>
  </r>
  <r>
    <n v="387494215"/>
    <x v="1"/>
    <x v="0"/>
    <x v="0"/>
    <n v="48.5"/>
    <n v="3"/>
    <n v="145.5"/>
    <x v="51"/>
    <x v="11"/>
    <x v="2"/>
    <n v="6.7"/>
    <s v="PARTICIPA"/>
  </r>
  <r>
    <n v="339389982"/>
    <x v="1"/>
    <x v="0"/>
    <x v="3"/>
    <n v="59.86"/>
    <n v="2"/>
    <n v="119.72"/>
    <x v="64"/>
    <x v="75"/>
    <x v="1"/>
    <n v="6.7"/>
    <s v="PARTICIPA"/>
  </r>
  <r>
    <n v="277355865"/>
    <x v="1"/>
    <x v="0"/>
    <x v="4"/>
    <n v="98.97"/>
    <n v="9"/>
    <n v="890.73"/>
    <x v="25"/>
    <x v="153"/>
    <x v="2"/>
    <n v="6.7"/>
    <s v="PARTICIPA"/>
  </r>
  <r>
    <n v="149611929"/>
    <x v="2"/>
    <x v="1"/>
    <x v="0"/>
    <n v="64.19"/>
    <n v="10"/>
    <n v="641.9"/>
    <x v="21"/>
    <x v="367"/>
    <x v="0"/>
    <n v="6.7"/>
    <s v="NO PARTICIPA"/>
  </r>
  <r>
    <n v="394556384"/>
    <x v="1"/>
    <x v="0"/>
    <x v="0"/>
    <n v="70.19"/>
    <n v="9"/>
    <n v="631.71"/>
    <x v="39"/>
    <x v="25"/>
    <x v="2"/>
    <n v="6.7"/>
    <s v="PARTICIPA"/>
  </r>
  <r>
    <n v="366436862"/>
    <x v="0"/>
    <x v="1"/>
    <x v="2"/>
    <n v="52.89"/>
    <n v="4"/>
    <n v="211.56"/>
    <x v="7"/>
    <x v="368"/>
    <x v="1"/>
    <n v="6.7"/>
    <s v="NO PARTICIPA"/>
  </r>
  <r>
    <n v="325894209"/>
    <x v="2"/>
    <x v="0"/>
    <x v="4"/>
    <n v="87.9"/>
    <n v="1"/>
    <n v="87.9"/>
    <x v="31"/>
    <x v="366"/>
    <x v="1"/>
    <n v="6.7"/>
    <s v="PARTICIPA"/>
  </r>
  <r>
    <n v="364342972"/>
    <x v="1"/>
    <x v="0"/>
    <x v="2"/>
    <n v="96.82"/>
    <n v="3"/>
    <n v="290.45999999999998"/>
    <x v="44"/>
    <x v="139"/>
    <x v="2"/>
    <n v="6.7"/>
    <s v="PARTICIPA"/>
  </r>
  <r>
    <n v="448348700"/>
    <x v="0"/>
    <x v="0"/>
    <x v="5"/>
    <n v="36.909999999999997"/>
    <n v="7"/>
    <n v="258.37"/>
    <x v="11"/>
    <x v="369"/>
    <x v="1"/>
    <n v="6.7"/>
    <s v="PARTICIPA"/>
  </r>
  <r>
    <n v="635406220"/>
    <x v="2"/>
    <x v="1"/>
    <x v="1"/>
    <n v="89.6"/>
    <n v="8"/>
    <n v="716.8"/>
    <x v="9"/>
    <x v="370"/>
    <x v="1"/>
    <n v="6.6"/>
    <s v="NO PARTICIPA"/>
  </r>
  <r>
    <n v="829491914"/>
    <x v="0"/>
    <x v="0"/>
    <x v="4"/>
    <n v="78.31"/>
    <n v="10"/>
    <n v="783.1"/>
    <x v="58"/>
    <x v="42"/>
    <x v="1"/>
    <n v="6.6"/>
    <s v="PARTICIPA"/>
  </r>
  <r>
    <n v="480632856"/>
    <x v="0"/>
    <x v="1"/>
    <x v="4"/>
    <n v="19.25"/>
    <n v="8"/>
    <n v="154"/>
    <x v="23"/>
    <x v="83"/>
    <x v="1"/>
    <n v="6.6"/>
    <s v="NO PARTICIPA"/>
  </r>
  <r>
    <n v="360395055"/>
    <x v="0"/>
    <x v="0"/>
    <x v="0"/>
    <n v="48.91"/>
    <n v="5"/>
    <n v="244.54999999999998"/>
    <x v="25"/>
    <x v="133"/>
    <x v="2"/>
    <n v="6.6"/>
    <s v="PARTICIPA"/>
  </r>
  <r>
    <n v="512910811"/>
    <x v="0"/>
    <x v="1"/>
    <x v="1"/>
    <n v="89.75"/>
    <n v="1"/>
    <n v="89.75"/>
    <x v="54"/>
    <x v="371"/>
    <x v="0"/>
    <n v="6.6"/>
    <s v="NO PARTICIPA"/>
  </r>
  <r>
    <n v="542410513"/>
    <x v="1"/>
    <x v="0"/>
    <x v="2"/>
    <n v="57.49"/>
    <n v="4"/>
    <n v="229.96"/>
    <x v="28"/>
    <x v="372"/>
    <x v="2"/>
    <n v="6.6"/>
    <s v="PARTICIPA"/>
  </r>
  <r>
    <n v="860790874"/>
    <x v="0"/>
    <x v="0"/>
    <x v="3"/>
    <n v="99.3"/>
    <n v="10"/>
    <n v="993"/>
    <x v="0"/>
    <x v="373"/>
    <x v="0"/>
    <n v="6.6"/>
    <s v="PARTICIPA"/>
  </r>
  <r>
    <n v="596423999"/>
    <x v="1"/>
    <x v="1"/>
    <x v="4"/>
    <n v="18.22"/>
    <n v="7"/>
    <n v="127.53999999999999"/>
    <x v="82"/>
    <x v="356"/>
    <x v="0"/>
    <n v="6.6"/>
    <s v="NO PARTICIPA"/>
  </r>
  <r>
    <n v="696902548"/>
    <x v="2"/>
    <x v="1"/>
    <x v="0"/>
    <n v="25.84"/>
    <n v="3"/>
    <n v="77.52"/>
    <x v="82"/>
    <x v="374"/>
    <x v="1"/>
    <n v="6.6"/>
    <s v="NO PARTICIPA"/>
  </r>
  <r>
    <n v="676396028"/>
    <x v="2"/>
    <x v="0"/>
    <x v="2"/>
    <n v="64.44"/>
    <n v="5"/>
    <n v="322.2"/>
    <x v="44"/>
    <x v="375"/>
    <x v="2"/>
    <n v="6.6"/>
    <s v="PARTICIPA"/>
  </r>
  <r>
    <n v="438014015"/>
    <x v="1"/>
    <x v="0"/>
    <x v="0"/>
    <n v="49.49"/>
    <n v="4"/>
    <n v="197.96"/>
    <x v="23"/>
    <x v="376"/>
    <x v="1"/>
    <n v="6.6"/>
    <s v="PARTICIPA"/>
  </r>
  <r>
    <n v="105106182"/>
    <x v="2"/>
    <x v="0"/>
    <x v="3"/>
    <n v="21.48"/>
    <n v="2"/>
    <n v="42.96"/>
    <x v="61"/>
    <x v="377"/>
    <x v="1"/>
    <n v="6.6"/>
    <s v="PARTICIPA"/>
  </r>
  <r>
    <n v="800098606"/>
    <x v="2"/>
    <x v="0"/>
    <x v="5"/>
    <n v="87.37"/>
    <n v="5"/>
    <n v="436.85"/>
    <x v="70"/>
    <x v="378"/>
    <x v="2"/>
    <n v="6.6"/>
    <s v="PARTICIPA"/>
  </r>
  <r>
    <n v="258927466"/>
    <x v="2"/>
    <x v="1"/>
    <x v="1"/>
    <n v="35.68"/>
    <n v="5"/>
    <n v="178.4"/>
    <x v="78"/>
    <x v="379"/>
    <x v="0"/>
    <n v="6.6"/>
    <s v="NO PARTICIPA"/>
  </r>
  <r>
    <n v="149140304"/>
    <x v="1"/>
    <x v="0"/>
    <x v="1"/>
    <n v="28.5"/>
    <n v="8"/>
    <n v="228"/>
    <x v="78"/>
    <x v="380"/>
    <x v="2"/>
    <n v="6.6"/>
    <s v="PARTICIPA"/>
  </r>
  <r>
    <n v="787872010"/>
    <x v="2"/>
    <x v="0"/>
    <x v="1"/>
    <n v="55.5"/>
    <n v="4"/>
    <n v="222"/>
    <x v="18"/>
    <x v="381"/>
    <x v="0"/>
    <n v="6.6"/>
    <s v="PARTICIPA"/>
  </r>
  <r>
    <n v="702720487"/>
    <x v="2"/>
    <x v="1"/>
    <x v="2"/>
    <n v="46.61"/>
    <n v="2"/>
    <n v="93.22"/>
    <x v="90"/>
    <x v="117"/>
    <x v="0"/>
    <n v="6.6"/>
    <s v="NO PARTICIPA"/>
  </r>
  <r>
    <n v="569762760"/>
    <x v="2"/>
    <x v="0"/>
    <x v="0"/>
    <n v="22.01"/>
    <n v="4"/>
    <n v="88.04"/>
    <x v="70"/>
    <x v="166"/>
    <x v="0"/>
    <n v="6.6"/>
    <s v="PARTICIPA"/>
  </r>
  <r>
    <n v="124311458"/>
    <x v="2"/>
    <x v="0"/>
    <x v="2"/>
    <n v="79.59"/>
    <n v="3"/>
    <n v="238.77"/>
    <x v="72"/>
    <x v="115"/>
    <x v="2"/>
    <n v="6.6"/>
    <s v="PARTICIPA"/>
  </r>
  <r>
    <n v="851983555"/>
    <x v="0"/>
    <x v="1"/>
    <x v="1"/>
    <n v="82.88"/>
    <n v="5"/>
    <n v="414.4"/>
    <x v="48"/>
    <x v="367"/>
    <x v="0"/>
    <n v="6.6"/>
    <s v="NO PARTICIPA"/>
  </r>
  <r>
    <n v="887420517"/>
    <x v="1"/>
    <x v="1"/>
    <x v="0"/>
    <n v="83.14"/>
    <n v="7"/>
    <n v="581.98"/>
    <x v="73"/>
    <x v="196"/>
    <x v="0"/>
    <n v="6.6"/>
    <s v="NO PARTICIPA"/>
  </r>
  <r>
    <n v="702835291"/>
    <x v="1"/>
    <x v="0"/>
    <x v="3"/>
    <n v="99.82"/>
    <n v="9"/>
    <n v="898.37999999999988"/>
    <x v="2"/>
    <x v="47"/>
    <x v="2"/>
    <n v="6.6"/>
    <s v="PARTICIPA"/>
  </r>
  <r>
    <n v="690016631"/>
    <x v="0"/>
    <x v="1"/>
    <x v="3"/>
    <n v="17.489999999999998"/>
    <n v="10"/>
    <n v="174.89999999999998"/>
    <x v="46"/>
    <x v="240"/>
    <x v="1"/>
    <n v="6.6"/>
    <s v="NO PARTICIPA"/>
  </r>
  <r>
    <n v="849093807"/>
    <x v="2"/>
    <x v="0"/>
    <x v="3"/>
    <n v="88.34"/>
    <n v="7"/>
    <n v="618.38"/>
    <x v="20"/>
    <x v="382"/>
    <x v="2"/>
    <n v="6.6"/>
    <s v="PARTICIPA"/>
  </r>
  <r>
    <n v="616242851"/>
    <x v="1"/>
    <x v="0"/>
    <x v="3"/>
    <n v="17.87"/>
    <n v="4"/>
    <n v="71.48"/>
    <x v="66"/>
    <x v="127"/>
    <x v="1"/>
    <n v="6.5"/>
    <s v="PARTICIPA"/>
  </r>
  <r>
    <n v="242556721"/>
    <x v="1"/>
    <x v="1"/>
    <x v="5"/>
    <n v="16.16"/>
    <n v="2"/>
    <n v="32.32"/>
    <x v="32"/>
    <x v="383"/>
    <x v="1"/>
    <n v="6.5"/>
    <s v="NO PARTICIPA"/>
  </r>
  <r>
    <n v="659361684"/>
    <x v="0"/>
    <x v="0"/>
    <x v="0"/>
    <n v="57.12"/>
    <n v="7"/>
    <n v="399.84"/>
    <x v="76"/>
    <x v="73"/>
    <x v="0"/>
    <n v="6.5"/>
    <s v="PARTICIPA"/>
  </r>
  <r>
    <n v="423800988"/>
    <x v="0"/>
    <x v="1"/>
    <x v="0"/>
    <n v="76.400000000000006"/>
    <n v="2"/>
    <n v="152.80000000000001"/>
    <x v="60"/>
    <x v="366"/>
    <x v="1"/>
    <n v="6.5"/>
    <s v="NO PARTICIPA"/>
  </r>
  <r>
    <n v="796329050"/>
    <x v="2"/>
    <x v="1"/>
    <x v="4"/>
    <n v="51.28"/>
    <n v="6"/>
    <n v="307.68"/>
    <x v="21"/>
    <x v="384"/>
    <x v="2"/>
    <n v="6.5"/>
    <s v="NO PARTICIPA"/>
  </r>
  <r>
    <n v="817698206"/>
    <x v="1"/>
    <x v="1"/>
    <x v="2"/>
    <n v="99.73"/>
    <n v="9"/>
    <n v="897.57"/>
    <x v="1"/>
    <x v="366"/>
    <x v="0"/>
    <n v="6.5"/>
    <s v="NO PARTICIPA"/>
  </r>
  <r>
    <n v="891588335"/>
    <x v="1"/>
    <x v="0"/>
    <x v="0"/>
    <n v="29.61"/>
    <n v="7"/>
    <n v="207.26999999999998"/>
    <x v="64"/>
    <x v="385"/>
    <x v="2"/>
    <n v="6.5"/>
    <s v="PARTICIPA"/>
  </r>
  <r>
    <n v="289655721"/>
    <x v="1"/>
    <x v="1"/>
    <x v="3"/>
    <n v="81.37"/>
    <n v="2"/>
    <n v="162.74"/>
    <x v="37"/>
    <x v="256"/>
    <x v="2"/>
    <n v="6.5"/>
    <s v="NO PARTICIPA"/>
  </r>
  <r>
    <n v="157135295"/>
    <x v="2"/>
    <x v="0"/>
    <x v="1"/>
    <n v="51.94"/>
    <n v="10"/>
    <n v="519.4"/>
    <x v="25"/>
    <x v="386"/>
    <x v="1"/>
    <n v="6.5"/>
    <s v="PARTICIPA"/>
  </r>
  <r>
    <n v="151161484"/>
    <x v="2"/>
    <x v="0"/>
    <x v="2"/>
    <n v="32.25"/>
    <n v="4"/>
    <n v="129"/>
    <x v="59"/>
    <x v="237"/>
    <x v="1"/>
    <n v="6.5"/>
    <s v="PARTICIPA"/>
  </r>
  <r>
    <n v="490291201"/>
    <x v="2"/>
    <x v="1"/>
    <x v="0"/>
    <n v="15.34"/>
    <n v="1"/>
    <n v="15.34"/>
    <x v="15"/>
    <x v="387"/>
    <x v="2"/>
    <n v="6.5"/>
    <s v="NO PARTICIPA"/>
  </r>
  <r>
    <n v="453636187"/>
    <x v="1"/>
    <x v="1"/>
    <x v="2"/>
    <n v="27.5"/>
    <n v="3"/>
    <n v="82.5"/>
    <x v="29"/>
    <x v="388"/>
    <x v="1"/>
    <n v="6.5"/>
    <s v="NO PARTICIPA"/>
  </r>
  <r>
    <n v="810606344"/>
    <x v="0"/>
    <x v="1"/>
    <x v="2"/>
    <n v="40.86"/>
    <n v="8"/>
    <n v="326.88"/>
    <x v="9"/>
    <x v="389"/>
    <x v="0"/>
    <n v="6.5"/>
    <s v="NO PARTICIPA"/>
  </r>
  <r>
    <n v="138175109"/>
    <x v="2"/>
    <x v="0"/>
    <x v="5"/>
    <n v="89.21"/>
    <n v="9"/>
    <n v="802.89"/>
    <x v="38"/>
    <x v="358"/>
    <x v="0"/>
    <n v="6.5"/>
    <s v="PARTICIPA"/>
  </r>
  <r>
    <n v="453127053"/>
    <x v="0"/>
    <x v="1"/>
    <x v="3"/>
    <n v="45.74"/>
    <n v="3"/>
    <n v="137.22"/>
    <x v="82"/>
    <x v="95"/>
    <x v="0"/>
    <n v="6.5"/>
    <s v="NO PARTICIPA"/>
  </r>
  <r>
    <n v="747587183"/>
    <x v="1"/>
    <x v="1"/>
    <x v="3"/>
    <n v="57.27"/>
    <n v="3"/>
    <n v="171.81"/>
    <x v="93"/>
    <x v="70"/>
    <x v="1"/>
    <n v="6.5"/>
    <s v="NO PARTICIPA"/>
  </r>
  <r>
    <n v="528875606"/>
    <x v="0"/>
    <x v="0"/>
    <x v="2"/>
    <n v="39.479999999999997"/>
    <n v="1"/>
    <n v="39.479999999999997"/>
    <x v="17"/>
    <x v="390"/>
    <x v="2"/>
    <n v="6.5"/>
    <s v="PARTICIPA"/>
  </r>
  <r>
    <n v="815046282"/>
    <x v="1"/>
    <x v="0"/>
    <x v="0"/>
    <n v="64.97"/>
    <n v="5"/>
    <n v="324.85000000000002"/>
    <x v="52"/>
    <x v="110"/>
    <x v="0"/>
    <n v="6.5"/>
    <s v="PARTICIPA"/>
  </r>
  <r>
    <n v="361590574"/>
    <x v="0"/>
    <x v="0"/>
    <x v="0"/>
    <n v="90.53"/>
    <n v="8"/>
    <n v="724.24"/>
    <x v="28"/>
    <x v="391"/>
    <x v="0"/>
    <n v="6.5"/>
    <s v="PARTICIPA"/>
  </r>
  <r>
    <n v="457120244"/>
    <x v="1"/>
    <x v="0"/>
    <x v="0"/>
    <n v="35.22"/>
    <n v="6"/>
    <n v="211.32"/>
    <x v="62"/>
    <x v="392"/>
    <x v="1"/>
    <n v="6.5"/>
    <s v="PARTICIPA"/>
  </r>
  <r>
    <n v="151337434"/>
    <x v="0"/>
    <x v="1"/>
    <x v="4"/>
    <n v="67.77"/>
    <n v="1"/>
    <n v="67.77"/>
    <x v="22"/>
    <x v="393"/>
    <x v="0"/>
    <n v="6.5"/>
    <s v="NO PARTICIPA"/>
  </r>
  <r>
    <n v="232113025"/>
    <x v="2"/>
    <x v="1"/>
    <x v="0"/>
    <n v="78.77"/>
    <n v="10"/>
    <n v="787.69999999999993"/>
    <x v="77"/>
    <x v="394"/>
    <x v="2"/>
    <n v="6.4"/>
    <s v="NO PARTICIPA"/>
  </r>
  <r>
    <n v="847387188"/>
    <x v="1"/>
    <x v="1"/>
    <x v="4"/>
    <n v="96.68"/>
    <n v="3"/>
    <n v="290.04000000000002"/>
    <x v="37"/>
    <x v="395"/>
    <x v="1"/>
    <n v="6.4"/>
    <s v="NO PARTICIPA"/>
  </r>
  <r>
    <n v="845510542"/>
    <x v="1"/>
    <x v="0"/>
    <x v="4"/>
    <n v="46.55"/>
    <n v="9"/>
    <n v="418.95"/>
    <x v="13"/>
    <x v="396"/>
    <x v="1"/>
    <n v="6.4"/>
    <s v="PARTICIPA"/>
  </r>
  <r>
    <n v="376563573"/>
    <x v="0"/>
    <x v="1"/>
    <x v="3"/>
    <n v="95.42"/>
    <n v="4"/>
    <n v="381.68"/>
    <x v="13"/>
    <x v="305"/>
    <x v="1"/>
    <n v="6.4"/>
    <s v="NO PARTICIPA"/>
  </r>
  <r>
    <n v="136086195"/>
    <x v="2"/>
    <x v="1"/>
    <x v="5"/>
    <n v="69.959999999999994"/>
    <n v="8"/>
    <n v="559.67999999999995"/>
    <x v="0"/>
    <x v="55"/>
    <x v="0"/>
    <n v="6.4"/>
    <s v="NO PARTICIPA"/>
  </r>
  <r>
    <n v="727756477"/>
    <x v="0"/>
    <x v="1"/>
    <x v="2"/>
    <n v="28.84"/>
    <n v="4"/>
    <n v="115.36"/>
    <x v="24"/>
    <x v="397"/>
    <x v="2"/>
    <n v="6.4"/>
    <s v="NO PARTICIPA"/>
  </r>
  <r>
    <n v="276540879"/>
    <x v="1"/>
    <x v="1"/>
    <x v="0"/>
    <n v="97.74"/>
    <n v="4"/>
    <n v="390.96"/>
    <x v="59"/>
    <x v="398"/>
    <x v="1"/>
    <n v="6.4"/>
    <s v="NO PARTICIPA"/>
  </r>
  <r>
    <n v="459507686"/>
    <x v="2"/>
    <x v="1"/>
    <x v="2"/>
    <n v="23.46"/>
    <n v="6"/>
    <n v="140.76"/>
    <x v="64"/>
    <x v="399"/>
    <x v="1"/>
    <n v="6.4"/>
    <s v="NO PARTICIPA"/>
  </r>
  <r>
    <n v="320328842"/>
    <x v="0"/>
    <x v="0"/>
    <x v="4"/>
    <n v="22.62"/>
    <n v="1"/>
    <n v="22.62"/>
    <x v="88"/>
    <x v="176"/>
    <x v="2"/>
    <n v="6.4"/>
    <s v="NO PARTICIPA"/>
  </r>
  <r>
    <n v="219614139"/>
    <x v="1"/>
    <x v="1"/>
    <x v="2"/>
    <n v="83.08"/>
    <n v="1"/>
    <n v="83.08"/>
    <x v="23"/>
    <x v="292"/>
    <x v="1"/>
    <n v="6.4"/>
    <s v="NO PARTICIPA"/>
  </r>
  <r>
    <n v="544325024"/>
    <x v="1"/>
    <x v="0"/>
    <x v="4"/>
    <n v="49.79"/>
    <n v="4"/>
    <n v="199.16"/>
    <x v="8"/>
    <x v="400"/>
    <x v="0"/>
    <n v="6.4"/>
    <s v="PARTICIPA"/>
  </r>
  <r>
    <n v="695095146"/>
    <x v="0"/>
    <x v="0"/>
    <x v="4"/>
    <n v="98.79"/>
    <n v="3"/>
    <n v="296.37"/>
    <x v="66"/>
    <x v="401"/>
    <x v="1"/>
    <n v="6.4"/>
    <s v="PARTICIPA"/>
  </r>
  <r>
    <n v="190143147"/>
    <x v="0"/>
    <x v="1"/>
    <x v="1"/>
    <n v="17.97"/>
    <n v="4"/>
    <n v="71.88"/>
    <x v="66"/>
    <x v="393"/>
    <x v="1"/>
    <n v="6.4"/>
    <s v="NO PARTICIPA"/>
  </r>
  <r>
    <n v="241965076"/>
    <x v="0"/>
    <x v="0"/>
    <x v="5"/>
    <n v="49.1"/>
    <n v="2"/>
    <n v="98.2"/>
    <x v="72"/>
    <x v="74"/>
    <x v="0"/>
    <n v="6.4"/>
    <s v="PARTICIPA"/>
  </r>
  <r>
    <n v="238456950"/>
    <x v="0"/>
    <x v="0"/>
    <x v="4"/>
    <n v="53.72"/>
    <n v="1"/>
    <n v="53.72"/>
    <x v="29"/>
    <x v="144"/>
    <x v="1"/>
    <n v="6.4"/>
    <s v="PARTICIPA"/>
  </r>
  <r>
    <n v="794423736"/>
    <x v="0"/>
    <x v="1"/>
    <x v="4"/>
    <n v="33.33"/>
    <n v="2"/>
    <n v="66.66"/>
    <x v="37"/>
    <x v="402"/>
    <x v="0"/>
    <n v="6.4"/>
    <s v="NO PARTICIPA"/>
  </r>
  <r>
    <n v="554538700"/>
    <x v="0"/>
    <x v="0"/>
    <x v="5"/>
    <n v="56.11"/>
    <n v="2"/>
    <n v="112.22"/>
    <x v="13"/>
    <x v="261"/>
    <x v="2"/>
    <n v="6.3"/>
    <s v="PARTICIPA"/>
  </r>
  <r>
    <n v="733334967"/>
    <x v="0"/>
    <x v="1"/>
    <x v="2"/>
    <n v="20.85"/>
    <n v="8"/>
    <n v="166.8"/>
    <x v="43"/>
    <x v="44"/>
    <x v="2"/>
    <n v="6.3"/>
    <s v="NO PARTICIPA"/>
  </r>
  <r>
    <n v="783091637"/>
    <x v="1"/>
    <x v="1"/>
    <x v="0"/>
    <n v="67.430000000000007"/>
    <n v="5"/>
    <n v="337.15000000000003"/>
    <x v="85"/>
    <x v="403"/>
    <x v="1"/>
    <n v="6.3"/>
    <s v="NO PARTICIPA"/>
  </r>
  <r>
    <n v="502051910"/>
    <x v="2"/>
    <x v="1"/>
    <x v="1"/>
    <n v="65.180000000000007"/>
    <n v="3"/>
    <n v="195.54000000000002"/>
    <x v="4"/>
    <x v="313"/>
    <x v="0"/>
    <n v="6.3"/>
    <s v="NO PARTICIPA"/>
  </r>
  <r>
    <n v="282352475"/>
    <x v="1"/>
    <x v="1"/>
    <x v="0"/>
    <n v="93.31"/>
    <n v="2"/>
    <n v="186.62"/>
    <x v="7"/>
    <x v="404"/>
    <x v="2"/>
    <n v="6.3"/>
    <s v="NO PARTICIPA"/>
  </r>
  <r>
    <n v="698985964"/>
    <x v="2"/>
    <x v="1"/>
    <x v="4"/>
    <n v="81.209999999999994"/>
    <n v="10"/>
    <n v="812.09999999999991"/>
    <x v="40"/>
    <x v="277"/>
    <x v="0"/>
    <n v="6.3"/>
    <s v="NO PARTICIPA"/>
  </r>
  <r>
    <n v="339968318"/>
    <x v="1"/>
    <x v="0"/>
    <x v="3"/>
    <n v="81.31"/>
    <n v="7"/>
    <n v="569.17000000000007"/>
    <x v="29"/>
    <x v="238"/>
    <x v="1"/>
    <n v="6.3"/>
    <s v="PARTICIPA"/>
  </r>
  <r>
    <n v="318812368"/>
    <x v="1"/>
    <x v="1"/>
    <x v="2"/>
    <n v="46.2"/>
    <n v="1"/>
    <n v="46.2"/>
    <x v="12"/>
    <x v="405"/>
    <x v="2"/>
    <n v="6.3"/>
    <s v="NO PARTICIPA"/>
  </r>
  <r>
    <n v="859710933"/>
    <x v="1"/>
    <x v="0"/>
    <x v="0"/>
    <n v="15.49"/>
    <n v="2"/>
    <n v="30.98"/>
    <x v="71"/>
    <x v="201"/>
    <x v="2"/>
    <n v="6.3"/>
    <s v="PARTICIPA"/>
  </r>
  <r>
    <n v="640485028"/>
    <x v="0"/>
    <x v="0"/>
    <x v="5"/>
    <n v="88.39"/>
    <n v="9"/>
    <n v="795.51"/>
    <x v="1"/>
    <x v="113"/>
    <x v="2"/>
    <n v="6.3"/>
    <s v="PARTICIPA"/>
  </r>
  <r>
    <n v="388762555"/>
    <x v="0"/>
    <x v="1"/>
    <x v="0"/>
    <n v="13.69"/>
    <n v="6"/>
    <n v="82.14"/>
    <x v="59"/>
    <x v="406"/>
    <x v="2"/>
    <n v="6.3"/>
    <s v="NO PARTICIPA"/>
  </r>
  <r>
    <n v="471068611"/>
    <x v="1"/>
    <x v="1"/>
    <x v="4"/>
    <n v="52.42"/>
    <n v="1"/>
    <n v="52.42"/>
    <x v="78"/>
    <x v="407"/>
    <x v="0"/>
    <n v="6.3"/>
    <s v="NO PARTICIPA"/>
  </r>
  <r>
    <n v="770428960"/>
    <x v="0"/>
    <x v="1"/>
    <x v="4"/>
    <n v="21.12"/>
    <n v="8"/>
    <n v="168.96"/>
    <x v="74"/>
    <x v="408"/>
    <x v="2"/>
    <n v="6.3"/>
    <s v="NO PARTICIPA"/>
  </r>
  <r>
    <n v="154877367"/>
    <x v="1"/>
    <x v="1"/>
    <x v="5"/>
    <n v="65.260000000000005"/>
    <n v="8"/>
    <n v="522.08000000000004"/>
    <x v="28"/>
    <x v="356"/>
    <x v="1"/>
    <n v="6.3"/>
    <s v="NO PARTICIPA"/>
  </r>
  <r>
    <n v="636983364"/>
    <x v="0"/>
    <x v="0"/>
    <x v="2"/>
    <n v="26.26"/>
    <n v="3"/>
    <n v="78.78"/>
    <x v="1"/>
    <x v="409"/>
    <x v="1"/>
    <n v="6.3"/>
    <s v="PARTICIPA"/>
  </r>
  <r>
    <n v="597787908"/>
    <x v="0"/>
    <x v="1"/>
    <x v="3"/>
    <n v="90.22"/>
    <n v="3"/>
    <n v="270.65999999999997"/>
    <x v="20"/>
    <x v="228"/>
    <x v="2"/>
    <n v="6.2"/>
    <s v="NO PARTICIPA"/>
  </r>
  <r>
    <n v="262472794"/>
    <x v="1"/>
    <x v="0"/>
    <x v="5"/>
    <n v="71.86"/>
    <n v="8"/>
    <n v="574.88"/>
    <x v="85"/>
    <x v="224"/>
    <x v="0"/>
    <n v="6.2"/>
    <s v="PARTICIPA"/>
  </r>
  <r>
    <n v="213726612"/>
    <x v="2"/>
    <x v="1"/>
    <x v="4"/>
    <n v="43.25"/>
    <n v="2"/>
    <n v="86.5"/>
    <x v="26"/>
    <x v="410"/>
    <x v="2"/>
    <n v="6.2"/>
    <s v="NO PARTICIPA"/>
  </r>
  <r>
    <n v="850419669"/>
    <x v="2"/>
    <x v="1"/>
    <x v="2"/>
    <n v="75.06"/>
    <n v="9"/>
    <n v="675.54"/>
    <x v="12"/>
    <x v="411"/>
    <x v="1"/>
    <n v="6.2"/>
    <s v="NO PARTICIPA"/>
  </r>
  <r>
    <n v="566195475"/>
    <x v="1"/>
    <x v="1"/>
    <x v="3"/>
    <n v="47.97"/>
    <n v="7"/>
    <n v="335.78999999999996"/>
    <x v="6"/>
    <x v="412"/>
    <x v="2"/>
    <n v="6.2"/>
    <s v="NO PARTICIPA"/>
  </r>
  <r>
    <n v="150898043"/>
    <x v="2"/>
    <x v="1"/>
    <x v="0"/>
    <n v="44.65"/>
    <n v="3"/>
    <n v="133.94999999999999"/>
    <x v="67"/>
    <x v="413"/>
    <x v="2"/>
    <n v="6.2"/>
    <s v="NO PARTICIPA"/>
  </r>
  <r>
    <n v="308474913"/>
    <x v="2"/>
    <x v="0"/>
    <x v="0"/>
    <n v="52.26"/>
    <n v="10"/>
    <n v="522.6"/>
    <x v="25"/>
    <x v="89"/>
    <x v="0"/>
    <n v="6.2"/>
    <s v="PARTICIPA"/>
  </r>
  <r>
    <n v="651610874"/>
    <x v="0"/>
    <x v="1"/>
    <x v="5"/>
    <n v="46.22"/>
    <n v="4"/>
    <n v="184.88"/>
    <x v="59"/>
    <x v="414"/>
    <x v="0"/>
    <n v="6.2"/>
    <s v="NO PARTICIPA"/>
  </r>
  <r>
    <n v="533335337"/>
    <x v="1"/>
    <x v="1"/>
    <x v="2"/>
    <n v="79.39"/>
    <n v="10"/>
    <n v="793.9"/>
    <x v="9"/>
    <x v="36"/>
    <x v="2"/>
    <n v="6.2"/>
    <s v="NO PARTICIPA"/>
  </r>
  <r>
    <n v="246113901"/>
    <x v="0"/>
    <x v="1"/>
    <x v="2"/>
    <n v="32.799999999999997"/>
    <n v="10"/>
    <n v="328"/>
    <x v="0"/>
    <x v="135"/>
    <x v="2"/>
    <n v="6.2"/>
    <s v="NO PARTICIPA"/>
  </r>
  <r>
    <n v="862598517"/>
    <x v="0"/>
    <x v="1"/>
    <x v="4"/>
    <n v="90.24"/>
    <n v="6"/>
    <n v="541.43999999999994"/>
    <x v="41"/>
    <x v="415"/>
    <x v="2"/>
    <n v="6.2"/>
    <s v="NO PARTICIPA"/>
  </r>
  <r>
    <n v="347726115"/>
    <x v="1"/>
    <x v="0"/>
    <x v="0"/>
    <n v="90.74"/>
    <n v="7"/>
    <n v="635.17999999999995"/>
    <x v="71"/>
    <x v="24"/>
    <x v="0"/>
    <n v="6.2"/>
    <s v="PARTICIPA"/>
  </r>
  <r>
    <n v="892056689"/>
    <x v="2"/>
    <x v="1"/>
    <x v="5"/>
    <n v="28.32"/>
    <n v="5"/>
    <n v="141.6"/>
    <x v="64"/>
    <x v="382"/>
    <x v="1"/>
    <n v="6.2"/>
    <s v="NO PARTICIPA"/>
  </r>
  <r>
    <n v="592346155"/>
    <x v="0"/>
    <x v="1"/>
    <x v="4"/>
    <n v="31.77"/>
    <n v="4"/>
    <n v="127.08"/>
    <x v="14"/>
    <x v="416"/>
    <x v="1"/>
    <n v="6.2"/>
    <s v="NO PARTICIPA"/>
  </r>
  <r>
    <n v="421959805"/>
    <x v="2"/>
    <x v="1"/>
    <x v="2"/>
    <n v="28.96"/>
    <n v="1"/>
    <n v="28.96"/>
    <x v="9"/>
    <x v="109"/>
    <x v="0"/>
    <n v="6.2"/>
    <s v="NO PARTICIPA"/>
  </r>
  <r>
    <n v="652436591"/>
    <x v="2"/>
    <x v="1"/>
    <x v="3"/>
    <n v="97.29"/>
    <n v="8"/>
    <n v="778.32"/>
    <x v="25"/>
    <x v="299"/>
    <x v="0"/>
    <n v="6.2"/>
    <s v="NO PARTICIPA"/>
  </r>
  <r>
    <n v="565914567"/>
    <x v="0"/>
    <x v="1"/>
    <x v="1"/>
    <n v="10.75"/>
    <n v="8"/>
    <n v="86"/>
    <x v="28"/>
    <x v="389"/>
    <x v="1"/>
    <n v="6.2"/>
    <s v="NO PARTICIPA"/>
  </r>
  <r>
    <n v="544559589"/>
    <x v="0"/>
    <x v="0"/>
    <x v="2"/>
    <n v="21.43"/>
    <n v="10"/>
    <n v="214.3"/>
    <x v="10"/>
    <x v="278"/>
    <x v="2"/>
    <n v="6.2"/>
    <s v="PARTICIPA"/>
  </r>
  <r>
    <n v="186715196"/>
    <x v="2"/>
    <x v="0"/>
    <x v="4"/>
    <n v="79.540000000000006"/>
    <n v="2"/>
    <n v="159.08000000000001"/>
    <x v="2"/>
    <x v="193"/>
    <x v="1"/>
    <n v="6.2"/>
    <s v="PARTICIPA"/>
  </r>
  <r>
    <n v="552445977"/>
    <x v="0"/>
    <x v="0"/>
    <x v="1"/>
    <n v="62"/>
    <n v="8"/>
    <n v="496"/>
    <x v="29"/>
    <x v="118"/>
    <x v="0"/>
    <n v="6.2"/>
    <s v="PARTICIPA"/>
  </r>
  <r>
    <n v="233675758"/>
    <x v="1"/>
    <x v="1"/>
    <x v="1"/>
    <n v="40.35"/>
    <n v="1"/>
    <n v="40.35"/>
    <x v="70"/>
    <x v="336"/>
    <x v="1"/>
    <n v="6.2"/>
    <s v="NO PARTICIPA"/>
  </r>
  <r>
    <n v="778715554"/>
    <x v="0"/>
    <x v="0"/>
    <x v="3"/>
    <n v="15.43"/>
    <n v="1"/>
    <n v="15.43"/>
    <x v="39"/>
    <x v="226"/>
    <x v="0"/>
    <n v="6.1"/>
    <s v="NO PARTICIPA"/>
  </r>
  <r>
    <n v="318685053"/>
    <x v="1"/>
    <x v="1"/>
    <x v="1"/>
    <n v="76.989999999999995"/>
    <n v="6"/>
    <n v="461.93999999999994"/>
    <x v="61"/>
    <x v="208"/>
    <x v="2"/>
    <n v="6.1"/>
    <s v="NO PARTICIPA"/>
  </r>
  <r>
    <n v="279742924"/>
    <x v="1"/>
    <x v="0"/>
    <x v="2"/>
    <n v="72.17"/>
    <n v="1"/>
    <n v="72.17"/>
    <x v="33"/>
    <x v="13"/>
    <x v="2"/>
    <n v="6.1"/>
    <s v="PARTICIPA"/>
  </r>
  <r>
    <n v="856228149"/>
    <x v="2"/>
    <x v="1"/>
    <x v="5"/>
    <n v="25.29"/>
    <n v="1"/>
    <n v="25.29"/>
    <x v="53"/>
    <x v="417"/>
    <x v="1"/>
    <n v="6.1"/>
    <s v="NO PARTICIPA"/>
  </r>
  <r>
    <n v="239363640"/>
    <x v="1"/>
    <x v="1"/>
    <x v="2"/>
    <n v="45.35"/>
    <n v="6"/>
    <n v="272.10000000000002"/>
    <x v="35"/>
    <x v="221"/>
    <x v="1"/>
    <n v="6.1"/>
    <s v="NO PARTICIPA"/>
  </r>
  <r>
    <n v="326712155"/>
    <x v="0"/>
    <x v="1"/>
    <x v="0"/>
    <n v="73.95"/>
    <n v="4"/>
    <n v="295.8"/>
    <x v="1"/>
    <x v="23"/>
    <x v="2"/>
    <n v="6.1"/>
    <s v="NO PARTICIPA"/>
  </r>
  <r>
    <n v="209610206"/>
    <x v="2"/>
    <x v="1"/>
    <x v="5"/>
    <n v="42.91"/>
    <n v="5"/>
    <n v="214.54999999999998"/>
    <x v="45"/>
    <x v="418"/>
    <x v="1"/>
    <n v="6.1"/>
    <s v="NO PARTICIPA"/>
  </r>
  <r>
    <n v="827445872"/>
    <x v="1"/>
    <x v="0"/>
    <x v="4"/>
    <n v="54.36"/>
    <n v="10"/>
    <n v="543.6"/>
    <x v="9"/>
    <x v="370"/>
    <x v="0"/>
    <n v="6.1"/>
    <s v="PARTICIPA"/>
  </r>
  <r>
    <n v="173572300"/>
    <x v="1"/>
    <x v="0"/>
    <x v="0"/>
    <n v="72.88"/>
    <n v="2"/>
    <n v="145.76"/>
    <x v="49"/>
    <x v="84"/>
    <x v="2"/>
    <n v="6.1"/>
    <s v="PARTICIPA"/>
  </r>
  <r>
    <n v="445309252"/>
    <x v="2"/>
    <x v="1"/>
    <x v="0"/>
    <n v="25.7"/>
    <n v="3"/>
    <n v="77.099999999999994"/>
    <x v="40"/>
    <x v="241"/>
    <x v="1"/>
    <n v="6.1"/>
    <s v="NO PARTICIPA"/>
  </r>
  <r>
    <n v="821149046"/>
    <x v="0"/>
    <x v="0"/>
    <x v="3"/>
    <n v="17.48"/>
    <n v="6"/>
    <n v="104.88"/>
    <x v="19"/>
    <x v="413"/>
    <x v="0"/>
    <n v="6.1"/>
    <s v="PARTICIPA"/>
  </r>
  <r>
    <n v="102062002"/>
    <x v="1"/>
    <x v="0"/>
    <x v="0"/>
    <n v="25.25"/>
    <n v="5"/>
    <n v="126.25"/>
    <x v="26"/>
    <x v="419"/>
    <x v="2"/>
    <n v="6.1"/>
    <s v="PARTICIPA"/>
  </r>
  <r>
    <n v="608053804"/>
    <x v="0"/>
    <x v="0"/>
    <x v="2"/>
    <n v="39.75"/>
    <n v="1"/>
    <n v="39.75"/>
    <x v="4"/>
    <x v="306"/>
    <x v="2"/>
    <n v="6.1"/>
    <s v="PARTICIPA"/>
  </r>
  <r>
    <n v="148417930"/>
    <x v="1"/>
    <x v="1"/>
    <x v="1"/>
    <n v="99.96"/>
    <n v="7"/>
    <n v="699.71999999999991"/>
    <x v="23"/>
    <x v="338"/>
    <x v="2"/>
    <n v="6.1"/>
    <s v="NO PARTICIPA"/>
  </r>
  <r>
    <n v="549591358"/>
    <x v="2"/>
    <x v="0"/>
    <x v="0"/>
    <n v="88.63"/>
    <n v="3"/>
    <n v="265.89"/>
    <x v="1"/>
    <x v="159"/>
    <x v="1"/>
    <n v="6"/>
    <s v="PARTICIPA"/>
  </r>
  <r>
    <n v="756017507"/>
    <x v="0"/>
    <x v="1"/>
    <x v="1"/>
    <n v="20.38"/>
    <n v="5"/>
    <n v="101.89999999999999"/>
    <x v="16"/>
    <x v="420"/>
    <x v="2"/>
    <n v="6"/>
    <s v="NO PARTICIPA"/>
  </r>
  <r>
    <n v="642322990"/>
    <x v="2"/>
    <x v="1"/>
    <x v="4"/>
    <n v="10.96"/>
    <n v="10"/>
    <n v="109.60000000000001"/>
    <x v="13"/>
    <x v="293"/>
    <x v="1"/>
    <n v="6"/>
    <s v="NO PARTICIPA"/>
  </r>
  <r>
    <n v="743041105"/>
    <x v="1"/>
    <x v="0"/>
    <x v="1"/>
    <n v="97.22"/>
    <n v="9"/>
    <n v="874.98"/>
    <x v="44"/>
    <x v="416"/>
    <x v="1"/>
    <n v="6"/>
    <s v="PARTICIPA"/>
  </r>
  <r>
    <n v="275280149"/>
    <x v="2"/>
    <x v="1"/>
    <x v="0"/>
    <n v="63.69"/>
    <n v="1"/>
    <n v="63.69"/>
    <x v="4"/>
    <x v="170"/>
    <x v="2"/>
    <n v="6"/>
    <s v="NO PARTICIPA"/>
  </r>
  <r>
    <n v="142724741"/>
    <x v="0"/>
    <x v="0"/>
    <x v="3"/>
    <n v="93.2"/>
    <n v="2"/>
    <n v="186.4"/>
    <x v="69"/>
    <x v="83"/>
    <x v="0"/>
    <n v="6"/>
    <s v="PARTICIPA"/>
  </r>
  <r>
    <n v="558804082"/>
    <x v="0"/>
    <x v="1"/>
    <x v="2"/>
    <n v="27.85"/>
    <n v="7"/>
    <n v="194.95000000000002"/>
    <x v="62"/>
    <x v="92"/>
    <x v="1"/>
    <n v="6"/>
    <s v="NO PARTICIPA"/>
  </r>
  <r>
    <n v="468880009"/>
    <x v="2"/>
    <x v="0"/>
    <x v="5"/>
    <n v="65.94"/>
    <n v="4"/>
    <n v="263.76"/>
    <x v="48"/>
    <x v="53"/>
    <x v="2"/>
    <n v="6"/>
    <s v="PARTICIPA"/>
  </r>
  <r>
    <n v="689169784"/>
    <x v="0"/>
    <x v="1"/>
    <x v="4"/>
    <n v="46.77"/>
    <n v="6"/>
    <n v="280.62"/>
    <x v="64"/>
    <x v="295"/>
    <x v="2"/>
    <n v="6"/>
    <s v="NO PARTICIPA"/>
  </r>
  <r>
    <n v="305183552"/>
    <x v="1"/>
    <x v="0"/>
    <x v="5"/>
    <n v="60.38"/>
    <n v="10"/>
    <n v="603.80000000000007"/>
    <x v="84"/>
    <x v="421"/>
    <x v="2"/>
    <n v="6"/>
    <s v="PARTICIPA"/>
  </r>
  <r>
    <n v="541488554"/>
    <x v="2"/>
    <x v="1"/>
    <x v="0"/>
    <n v="60.95"/>
    <n v="9"/>
    <n v="548.55000000000007"/>
    <x v="6"/>
    <x v="422"/>
    <x v="0"/>
    <n v="6"/>
    <s v="NO PARTICIPA"/>
  </r>
  <r>
    <n v="610464100"/>
    <x v="2"/>
    <x v="1"/>
    <x v="1"/>
    <n v="28.95"/>
    <n v="7"/>
    <n v="202.65"/>
    <x v="43"/>
    <x v="70"/>
    <x v="0"/>
    <n v="6"/>
    <s v="NO PARTICIPA"/>
  </r>
  <r>
    <n v="794322436"/>
    <x v="0"/>
    <x v="0"/>
    <x v="2"/>
    <n v="55.67"/>
    <n v="2"/>
    <n v="111.34"/>
    <x v="2"/>
    <x v="218"/>
    <x v="1"/>
    <n v="6"/>
    <s v="PARTICIPA"/>
  </r>
  <r>
    <n v="274055470"/>
    <x v="2"/>
    <x v="0"/>
    <x v="4"/>
    <n v="73.47"/>
    <n v="4"/>
    <n v="293.88"/>
    <x v="66"/>
    <x v="311"/>
    <x v="2"/>
    <n v="6"/>
    <s v="PARTICIPA"/>
  </r>
  <r>
    <n v="268203585"/>
    <x v="1"/>
    <x v="1"/>
    <x v="1"/>
    <n v="13.85"/>
    <n v="9"/>
    <n v="124.64999999999999"/>
    <x v="22"/>
    <x v="11"/>
    <x v="1"/>
    <n v="6"/>
    <s v="NO PARTICIPA"/>
  </r>
  <r>
    <n v="607652441"/>
    <x v="1"/>
    <x v="0"/>
    <x v="1"/>
    <n v="81.95"/>
    <n v="10"/>
    <n v="819.5"/>
    <x v="82"/>
    <x v="423"/>
    <x v="0"/>
    <n v="6"/>
    <s v="PARTICIPA"/>
  </r>
  <r>
    <n v="197777132"/>
    <x v="0"/>
    <x v="0"/>
    <x v="2"/>
    <n v="91.56"/>
    <n v="8"/>
    <n v="732.48"/>
    <x v="76"/>
    <x v="274"/>
    <x v="1"/>
    <n v="6"/>
    <s v="PARTICIPA"/>
  </r>
  <r>
    <n v="200165952"/>
    <x v="1"/>
    <x v="0"/>
    <x v="4"/>
    <n v="65.650000000000006"/>
    <n v="2"/>
    <n v="131.30000000000001"/>
    <x v="40"/>
    <x v="424"/>
    <x v="2"/>
    <n v="6"/>
    <s v="PARTICIPA"/>
  </r>
  <r>
    <n v="189552313"/>
    <x v="1"/>
    <x v="1"/>
    <x v="3"/>
    <n v="62.18"/>
    <n v="10"/>
    <n v="621.79999999999995"/>
    <x v="35"/>
    <x v="338"/>
    <x v="1"/>
    <n v="6"/>
    <s v="NO PARTICIPA"/>
  </r>
  <r>
    <n v="674566360"/>
    <x v="2"/>
    <x v="1"/>
    <x v="2"/>
    <n v="95.15"/>
    <n v="1"/>
    <n v="95.15"/>
    <x v="66"/>
    <x v="304"/>
    <x v="2"/>
    <n v="6"/>
    <s v="NO PARTICIPA"/>
  </r>
  <r>
    <n v="190593964"/>
    <x v="0"/>
    <x v="0"/>
    <x v="4"/>
    <n v="47.16"/>
    <n v="5"/>
    <n v="235.79999999999998"/>
    <x v="1"/>
    <x v="289"/>
    <x v="0"/>
    <n v="6"/>
    <s v="PARTICIPA"/>
  </r>
  <r>
    <n v="291591384"/>
    <x v="0"/>
    <x v="1"/>
    <x v="2"/>
    <n v="60.3"/>
    <n v="1"/>
    <n v="60.3"/>
    <x v="69"/>
    <x v="95"/>
    <x v="2"/>
    <n v="6"/>
    <s v="NO PARTICIPA"/>
  </r>
  <r>
    <n v="490950021"/>
    <x v="0"/>
    <x v="0"/>
    <x v="4"/>
    <n v="33.21"/>
    <n v="10"/>
    <n v="332.1"/>
    <x v="72"/>
    <x v="425"/>
    <x v="1"/>
    <n v="6"/>
    <s v="PARTICIPA"/>
  </r>
  <r>
    <n v="545078534"/>
    <x v="1"/>
    <x v="1"/>
    <x v="1"/>
    <n v="58.32"/>
    <n v="2"/>
    <n v="116.64"/>
    <x v="67"/>
    <x v="426"/>
    <x v="1"/>
    <n v="6"/>
    <s v="NO PARTICIPA"/>
  </r>
  <r>
    <n v="189405216"/>
    <x v="1"/>
    <x v="1"/>
    <x v="2"/>
    <n v="96.37"/>
    <n v="7"/>
    <n v="674.59"/>
    <x v="91"/>
    <x v="48"/>
    <x v="2"/>
    <n v="6"/>
    <s v="NO PARTICIPA"/>
  </r>
  <r>
    <n v="602166955"/>
    <x v="0"/>
    <x v="1"/>
    <x v="0"/>
    <n v="76.599999999999994"/>
    <n v="10"/>
    <n v="766"/>
    <x v="77"/>
    <x v="427"/>
    <x v="1"/>
    <n v="6"/>
    <s v="NO PARTICIPA"/>
  </r>
  <r>
    <n v="692925582"/>
    <x v="1"/>
    <x v="0"/>
    <x v="4"/>
    <n v="54.84"/>
    <n v="3"/>
    <n v="164.52"/>
    <x v="3"/>
    <x v="428"/>
    <x v="0"/>
    <n v="5.9"/>
    <s v="PARTICIPA"/>
  </r>
  <r>
    <n v="796122025"/>
    <x v="0"/>
    <x v="1"/>
    <x v="3"/>
    <n v="62.12"/>
    <n v="10"/>
    <n v="621.19999999999993"/>
    <x v="89"/>
    <x v="421"/>
    <x v="2"/>
    <n v="5.9"/>
    <s v="NO PARTICIPA"/>
  </r>
  <r>
    <n v="189089157"/>
    <x v="0"/>
    <x v="1"/>
    <x v="3"/>
    <n v="31.73"/>
    <n v="9"/>
    <n v="285.57"/>
    <x v="51"/>
    <x v="429"/>
    <x v="0"/>
    <n v="5.9"/>
    <s v="NO PARTICIPA"/>
  </r>
  <r>
    <n v="548469322"/>
    <x v="1"/>
    <x v="1"/>
    <x v="4"/>
    <n v="39.9"/>
    <n v="10"/>
    <n v="399"/>
    <x v="3"/>
    <x v="430"/>
    <x v="0"/>
    <n v="5.9"/>
    <s v="NO PARTICIPA"/>
  </r>
  <r>
    <n v="593651552"/>
    <x v="0"/>
    <x v="1"/>
    <x v="5"/>
    <n v="69.81"/>
    <n v="4"/>
    <n v="279.24"/>
    <x v="10"/>
    <x v="431"/>
    <x v="0"/>
    <n v="5.9"/>
    <s v="NO PARTICIPA"/>
  </r>
  <r>
    <n v="888020338"/>
    <x v="2"/>
    <x v="1"/>
    <x v="2"/>
    <n v="26.23"/>
    <n v="9"/>
    <n v="236.07"/>
    <x v="39"/>
    <x v="36"/>
    <x v="1"/>
    <n v="5.9"/>
    <s v="NO PARTICIPA"/>
  </r>
  <r>
    <n v="585035943"/>
    <x v="1"/>
    <x v="1"/>
    <x v="1"/>
    <n v="18.11"/>
    <n v="10"/>
    <n v="181.1"/>
    <x v="49"/>
    <x v="106"/>
    <x v="1"/>
    <n v="5.9"/>
    <s v="NO PARTICIPA"/>
  </r>
  <r>
    <n v="609818548"/>
    <x v="2"/>
    <x v="0"/>
    <x v="5"/>
    <n v="37.44"/>
    <n v="6"/>
    <n v="224.64"/>
    <x v="54"/>
    <x v="284"/>
    <x v="0"/>
    <n v="5.9"/>
    <s v="PARTICIPA"/>
  </r>
  <r>
    <n v="816728853"/>
    <x v="2"/>
    <x v="0"/>
    <x v="0"/>
    <n v="27.93"/>
    <n v="5"/>
    <n v="139.65"/>
    <x v="70"/>
    <x v="381"/>
    <x v="2"/>
    <n v="5.9"/>
    <s v="PARTICIPA"/>
  </r>
  <r>
    <n v="725672480"/>
    <x v="0"/>
    <x v="0"/>
    <x v="3"/>
    <n v="58.75"/>
    <n v="6"/>
    <n v="352.5"/>
    <x v="48"/>
    <x v="49"/>
    <x v="0"/>
    <n v="5.9"/>
    <s v="PARTICIPA"/>
  </r>
  <r>
    <n v="442446497"/>
    <x v="1"/>
    <x v="0"/>
    <x v="5"/>
    <n v="55.57"/>
    <n v="3"/>
    <n v="166.71"/>
    <x v="72"/>
    <x v="346"/>
    <x v="0"/>
    <n v="5.9"/>
    <s v="PARTICIPA"/>
  </r>
  <r>
    <n v="784219238"/>
    <x v="1"/>
    <x v="0"/>
    <x v="0"/>
    <n v="10.17"/>
    <n v="1"/>
    <n v="10.17"/>
    <x v="9"/>
    <x v="432"/>
    <x v="2"/>
    <n v="5.9"/>
    <s v="NO PARTICIPA"/>
  </r>
  <r>
    <n v="896340956"/>
    <x v="2"/>
    <x v="1"/>
    <x v="3"/>
    <n v="21.32"/>
    <n v="1"/>
    <n v="21.32"/>
    <x v="37"/>
    <x v="182"/>
    <x v="2"/>
    <n v="5.9"/>
    <s v="NO PARTICIPA"/>
  </r>
  <r>
    <n v="804383935"/>
    <x v="2"/>
    <x v="0"/>
    <x v="2"/>
    <n v="93.78"/>
    <n v="3"/>
    <n v="281.34000000000003"/>
    <x v="60"/>
    <x v="33"/>
    <x v="0"/>
    <n v="5.9"/>
    <s v="PARTICIPA"/>
  </r>
  <r>
    <n v="737885876"/>
    <x v="2"/>
    <x v="0"/>
    <x v="5"/>
    <n v="23.29"/>
    <n v="4"/>
    <n v="93.16"/>
    <x v="12"/>
    <x v="16"/>
    <x v="0"/>
    <n v="5.9"/>
    <s v="PARTICIPA"/>
  </r>
  <r>
    <n v="500022261"/>
    <x v="1"/>
    <x v="1"/>
    <x v="4"/>
    <n v="57.29"/>
    <n v="6"/>
    <n v="343.74"/>
    <x v="23"/>
    <x v="375"/>
    <x v="1"/>
    <n v="5.9"/>
    <s v="NO PARTICIPA"/>
  </r>
  <r>
    <n v="652496720"/>
    <x v="1"/>
    <x v="0"/>
    <x v="2"/>
    <n v="60.95"/>
    <n v="1"/>
    <n v="60.95"/>
    <x v="20"/>
    <x v="48"/>
    <x v="1"/>
    <n v="5.9"/>
    <s v="PARTICIPA"/>
  </r>
  <r>
    <n v="355535943"/>
    <x v="2"/>
    <x v="0"/>
    <x v="2"/>
    <n v="68.84"/>
    <n v="6"/>
    <n v="413.04"/>
    <x v="4"/>
    <x v="59"/>
    <x v="1"/>
    <n v="5.8"/>
    <s v="PARTICIPA"/>
  </r>
  <r>
    <n v="106356779"/>
    <x v="2"/>
    <x v="0"/>
    <x v="5"/>
    <n v="44.34"/>
    <n v="2"/>
    <n v="88.68"/>
    <x v="2"/>
    <x v="158"/>
    <x v="2"/>
    <n v="5.8"/>
    <s v="PARTICIPA"/>
  </r>
  <r>
    <n v="877223308"/>
    <x v="2"/>
    <x v="0"/>
    <x v="1"/>
    <n v="15.87"/>
    <n v="10"/>
    <n v="158.69999999999999"/>
    <x v="49"/>
    <x v="94"/>
    <x v="2"/>
    <n v="5.8"/>
    <s v="PARTICIPA"/>
  </r>
  <r>
    <n v="448815016"/>
    <x v="2"/>
    <x v="1"/>
    <x v="1"/>
    <n v="59.77"/>
    <n v="2"/>
    <n v="119.54"/>
    <x v="64"/>
    <x v="433"/>
    <x v="0"/>
    <n v="5.8"/>
    <s v="NO PARTICIPA"/>
  </r>
  <r>
    <n v="744025987"/>
    <x v="2"/>
    <x v="0"/>
    <x v="5"/>
    <n v="78.38"/>
    <n v="6"/>
    <n v="470.28"/>
    <x v="94"/>
    <x v="434"/>
    <x v="1"/>
    <n v="5.8"/>
    <s v="PARTICIPA"/>
  </r>
  <r>
    <n v="525887307"/>
    <x v="1"/>
    <x v="0"/>
    <x v="0"/>
    <n v="75.819999999999993"/>
    <n v="1"/>
    <n v="75.819999999999993"/>
    <x v="35"/>
    <x v="435"/>
    <x v="2"/>
    <n v="5.8"/>
    <s v="PARTICIPA"/>
  </r>
  <r>
    <n v="760541821"/>
    <x v="1"/>
    <x v="1"/>
    <x v="5"/>
    <n v="13.59"/>
    <n v="9"/>
    <n v="122.31"/>
    <x v="28"/>
    <x v="331"/>
    <x v="2"/>
    <n v="5.8"/>
    <s v="NO PARTICIPA"/>
  </r>
  <r>
    <n v="458610011"/>
    <x v="1"/>
    <x v="1"/>
    <x v="4"/>
    <n v="60.3"/>
    <n v="4"/>
    <n v="241.2"/>
    <x v="3"/>
    <x v="187"/>
    <x v="2"/>
    <n v="5.8"/>
    <s v="NO PARTICIPA"/>
  </r>
  <r>
    <n v="169524504"/>
    <x v="2"/>
    <x v="1"/>
    <x v="2"/>
    <n v="15.69"/>
    <n v="3"/>
    <n v="47.07"/>
    <x v="62"/>
    <x v="31"/>
    <x v="0"/>
    <n v="5.8"/>
    <s v="NO PARTICIPA"/>
  </r>
  <r>
    <n v="664142882"/>
    <x v="1"/>
    <x v="0"/>
    <x v="5"/>
    <n v="10.53"/>
    <n v="5"/>
    <n v="52.65"/>
    <x v="60"/>
    <x v="416"/>
    <x v="0"/>
    <n v="5.8"/>
    <s v="PARTICIPA"/>
  </r>
  <r>
    <n v="807343742"/>
    <x v="2"/>
    <x v="1"/>
    <x v="3"/>
    <n v="52.38"/>
    <n v="1"/>
    <n v="52.38"/>
    <x v="47"/>
    <x v="32"/>
    <x v="2"/>
    <n v="5.8"/>
    <s v="NO PARTICIPA"/>
  </r>
  <r>
    <n v="660297083"/>
    <x v="1"/>
    <x v="1"/>
    <x v="2"/>
    <n v="55.87"/>
    <n v="10"/>
    <n v="558.69999999999993"/>
    <x v="38"/>
    <x v="6"/>
    <x v="2"/>
    <n v="5.8"/>
    <s v="NO PARTICIPA"/>
  </r>
  <r>
    <n v="459452396"/>
    <x v="2"/>
    <x v="0"/>
    <x v="4"/>
    <n v="99.6"/>
    <n v="3"/>
    <n v="298.79999999999995"/>
    <x v="4"/>
    <x v="38"/>
    <x v="2"/>
    <n v="5.8"/>
    <s v="PARTICIPA"/>
  </r>
  <r>
    <n v="172428274"/>
    <x v="0"/>
    <x v="1"/>
    <x v="2"/>
    <n v="38.270000000000003"/>
    <n v="2"/>
    <n v="76.540000000000006"/>
    <x v="1"/>
    <x v="436"/>
    <x v="0"/>
    <n v="5.8"/>
    <s v="NO PARTICIPA"/>
  </r>
  <r>
    <n v="829343910"/>
    <x v="2"/>
    <x v="1"/>
    <x v="1"/>
    <n v="71.38"/>
    <n v="10"/>
    <n v="713.8"/>
    <x v="24"/>
    <x v="437"/>
    <x v="2"/>
    <n v="5.7"/>
    <s v="NO PARTICIPA"/>
  </r>
  <r>
    <n v="381200914"/>
    <x v="2"/>
    <x v="0"/>
    <x v="3"/>
    <n v="20.010000000000002"/>
    <n v="9"/>
    <n v="180.09"/>
    <x v="76"/>
    <x v="381"/>
    <x v="0"/>
    <n v="5.7"/>
    <s v="PARTICIPA"/>
  </r>
  <r>
    <n v="504358843"/>
    <x v="2"/>
    <x v="1"/>
    <x v="0"/>
    <n v="42.47"/>
    <n v="1"/>
    <n v="42.47"/>
    <x v="92"/>
    <x v="438"/>
    <x v="2"/>
    <n v="5.7"/>
    <s v="NO PARTICIPA"/>
  </r>
  <r>
    <n v="130988941"/>
    <x v="0"/>
    <x v="1"/>
    <x v="3"/>
    <n v="64.260000000000005"/>
    <n v="7"/>
    <n v="449.82000000000005"/>
    <x v="93"/>
    <x v="296"/>
    <x v="2"/>
    <n v="5.7"/>
    <s v="NO PARTICIPA"/>
  </r>
  <r>
    <n v="824883614"/>
    <x v="0"/>
    <x v="1"/>
    <x v="1"/>
    <n v="34.31"/>
    <n v="8"/>
    <n v="274.48"/>
    <x v="39"/>
    <x v="439"/>
    <x v="1"/>
    <n v="5.7"/>
    <s v="NO PARTICIPA"/>
  </r>
  <r>
    <n v="641432399"/>
    <x v="1"/>
    <x v="1"/>
    <x v="5"/>
    <n v="25.55"/>
    <n v="4"/>
    <n v="102.2"/>
    <x v="37"/>
    <x v="440"/>
    <x v="1"/>
    <n v="5.7"/>
    <s v="NO PARTICIPA"/>
  </r>
  <r>
    <n v="530909855"/>
    <x v="2"/>
    <x v="0"/>
    <x v="5"/>
    <n v="47.59"/>
    <n v="8"/>
    <n v="380.72"/>
    <x v="74"/>
    <x v="441"/>
    <x v="2"/>
    <n v="5.7"/>
    <s v="PARTICIPA"/>
  </r>
  <r>
    <n v="655855130"/>
    <x v="1"/>
    <x v="0"/>
    <x v="3"/>
    <n v="38.299999999999997"/>
    <n v="4"/>
    <n v="153.19999999999999"/>
    <x v="49"/>
    <x v="442"/>
    <x v="2"/>
    <n v="5.7"/>
    <s v="PARTICIPA"/>
  </r>
  <r>
    <n v="537720426"/>
    <x v="0"/>
    <x v="0"/>
    <x v="3"/>
    <n v="70.989999999999995"/>
    <n v="10"/>
    <n v="709.9"/>
    <x v="26"/>
    <x v="217"/>
    <x v="2"/>
    <n v="5.7"/>
    <s v="PARTICIPA"/>
  </r>
  <r>
    <n v="574579721"/>
    <x v="0"/>
    <x v="1"/>
    <x v="4"/>
    <n v="43.27"/>
    <n v="2"/>
    <n v="86.54"/>
    <x v="42"/>
    <x v="443"/>
    <x v="1"/>
    <n v="5.7"/>
    <s v="NO PARTICIPA"/>
  </r>
  <r>
    <n v="134544720"/>
    <x v="1"/>
    <x v="1"/>
    <x v="2"/>
    <n v="42.42"/>
    <n v="8"/>
    <n v="339.36"/>
    <x v="60"/>
    <x v="15"/>
    <x v="1"/>
    <n v="5.7"/>
    <s v="NO PARTICIPA"/>
  </r>
  <r>
    <n v="201638275"/>
    <x v="1"/>
    <x v="0"/>
    <x v="0"/>
    <n v="67.989999999999995"/>
    <n v="7"/>
    <n v="475.92999999999995"/>
    <x v="5"/>
    <x v="444"/>
    <x v="1"/>
    <n v="5.7"/>
    <s v="PARTICIPA"/>
  </r>
  <r>
    <n v="809699497"/>
    <x v="2"/>
    <x v="1"/>
    <x v="5"/>
    <n v="45.68"/>
    <n v="10"/>
    <n v="456.8"/>
    <x v="21"/>
    <x v="214"/>
    <x v="1"/>
    <n v="5.7"/>
    <s v="NO PARTICIPA"/>
  </r>
  <r>
    <n v="200406154"/>
    <x v="0"/>
    <x v="0"/>
    <x v="5"/>
    <n v="65.91"/>
    <n v="6"/>
    <n v="395.46"/>
    <x v="81"/>
    <x v="328"/>
    <x v="2"/>
    <n v="5.7"/>
    <s v="PARTICIPA"/>
  </r>
  <r>
    <n v="354255821"/>
    <x v="1"/>
    <x v="0"/>
    <x v="0"/>
    <n v="69.12"/>
    <n v="6"/>
    <n v="414.72"/>
    <x v="83"/>
    <x v="445"/>
    <x v="2"/>
    <n v="5.6"/>
    <s v="PARTICIPA"/>
  </r>
  <r>
    <n v="568905112"/>
    <x v="0"/>
    <x v="1"/>
    <x v="1"/>
    <n v="66.14"/>
    <n v="4"/>
    <n v="264.56"/>
    <x v="12"/>
    <x v="39"/>
    <x v="0"/>
    <n v="5.6"/>
    <s v="NO PARTICIPA"/>
  </r>
  <r>
    <n v="505020892"/>
    <x v="1"/>
    <x v="0"/>
    <x v="1"/>
    <n v="42.57"/>
    <n v="8"/>
    <n v="340.56"/>
    <x v="4"/>
    <x v="142"/>
    <x v="1"/>
    <n v="5.6"/>
    <s v="PARTICIPA"/>
  </r>
  <r>
    <n v="540114336"/>
    <x v="2"/>
    <x v="1"/>
    <x v="4"/>
    <n v="24.94"/>
    <n v="9"/>
    <n v="224.46"/>
    <x v="34"/>
    <x v="3"/>
    <x v="0"/>
    <n v="5.6"/>
    <s v="NO PARTICIPA"/>
  </r>
  <r>
    <n v="821073596"/>
    <x v="0"/>
    <x v="1"/>
    <x v="3"/>
    <n v="16.45"/>
    <n v="4"/>
    <n v="65.8"/>
    <x v="32"/>
    <x v="373"/>
    <x v="1"/>
    <n v="5.6"/>
    <s v="NO PARTICIPA"/>
  </r>
  <r>
    <n v="578807669"/>
    <x v="1"/>
    <x v="1"/>
    <x v="0"/>
    <n v="74.97"/>
    <n v="1"/>
    <n v="74.97"/>
    <x v="65"/>
    <x v="446"/>
    <x v="2"/>
    <n v="5.6"/>
    <s v="NO PARTICIPA"/>
  </r>
  <r>
    <n v="122619553"/>
    <x v="0"/>
    <x v="1"/>
    <x v="2"/>
    <n v="51.32"/>
    <n v="9"/>
    <n v="461.88"/>
    <x v="62"/>
    <x v="447"/>
    <x v="2"/>
    <n v="5.6"/>
    <s v="NO PARTICIPA"/>
  </r>
  <r>
    <n v="712390363"/>
    <x v="2"/>
    <x v="0"/>
    <x v="4"/>
    <n v="41.66"/>
    <n v="6"/>
    <n v="249.95999999999998"/>
    <x v="92"/>
    <x v="430"/>
    <x v="1"/>
    <n v="5.6"/>
    <s v="PARTICIPA"/>
  </r>
  <r>
    <n v="574318277"/>
    <x v="0"/>
    <x v="0"/>
    <x v="3"/>
    <n v="33.630000000000003"/>
    <n v="1"/>
    <n v="33.630000000000003"/>
    <x v="26"/>
    <x v="243"/>
    <x v="2"/>
    <n v="5.6"/>
    <s v="PARTICIPA"/>
  </r>
  <r>
    <n v="345689016"/>
    <x v="1"/>
    <x v="0"/>
    <x v="0"/>
    <n v="31.67"/>
    <n v="8"/>
    <n v="253.36"/>
    <x v="50"/>
    <x v="421"/>
    <x v="0"/>
    <n v="5.6"/>
    <s v="PARTICIPA"/>
  </r>
  <r>
    <n v="250175703"/>
    <x v="2"/>
    <x v="0"/>
    <x v="4"/>
    <n v="18.850000000000001"/>
    <n v="10"/>
    <n v="188.5"/>
    <x v="61"/>
    <x v="386"/>
    <x v="1"/>
    <n v="5.6"/>
    <s v="PARTICIPA"/>
  </r>
  <r>
    <n v="842408179"/>
    <x v="0"/>
    <x v="0"/>
    <x v="4"/>
    <n v="77.2"/>
    <n v="10"/>
    <n v="772"/>
    <x v="57"/>
    <x v="165"/>
    <x v="0"/>
    <n v="5.6"/>
    <s v="PARTICIPA"/>
  </r>
  <r>
    <n v="457940464"/>
    <x v="0"/>
    <x v="0"/>
    <x v="2"/>
    <n v="87.87"/>
    <n v="9"/>
    <n v="790.83"/>
    <x v="35"/>
    <x v="448"/>
    <x v="1"/>
    <n v="5.6"/>
    <s v="PARTICIPA"/>
  </r>
  <r>
    <n v="704104056"/>
    <x v="1"/>
    <x v="0"/>
    <x v="1"/>
    <n v="60.47"/>
    <n v="3"/>
    <n v="181.41"/>
    <x v="14"/>
    <x v="88"/>
    <x v="0"/>
    <n v="5.6"/>
    <s v="PARTICIPA"/>
  </r>
  <r>
    <n v="288621085"/>
    <x v="2"/>
    <x v="0"/>
    <x v="3"/>
    <n v="38.54"/>
    <n v="5"/>
    <n v="192.7"/>
    <x v="91"/>
    <x v="330"/>
    <x v="1"/>
    <n v="5.6"/>
    <s v="PARTICIPA"/>
  </r>
  <r>
    <n v="880465796"/>
    <x v="2"/>
    <x v="0"/>
    <x v="0"/>
    <n v="76.92"/>
    <n v="10"/>
    <n v="769.2"/>
    <x v="88"/>
    <x v="398"/>
    <x v="1"/>
    <n v="5.6"/>
    <s v="PARTICIPA"/>
  </r>
  <r>
    <n v="870724431"/>
    <x v="0"/>
    <x v="1"/>
    <x v="1"/>
    <n v="99.19"/>
    <n v="6"/>
    <n v="595.14"/>
    <x v="75"/>
    <x v="127"/>
    <x v="0"/>
    <n v="5.5"/>
    <s v="NO PARTICIPA"/>
  </r>
  <r>
    <n v="249423782"/>
    <x v="2"/>
    <x v="1"/>
    <x v="1"/>
    <n v="70.010000000000005"/>
    <n v="5"/>
    <n v="350.05"/>
    <x v="29"/>
    <x v="152"/>
    <x v="1"/>
    <n v="5.5"/>
    <s v="NO PARTICIPA"/>
  </r>
  <r>
    <n v="420114919"/>
    <x v="0"/>
    <x v="0"/>
    <x v="4"/>
    <n v="71.39"/>
    <n v="5"/>
    <n v="356.95"/>
    <x v="5"/>
    <x v="56"/>
    <x v="0"/>
    <n v="5.5"/>
    <s v="PARTICIPA"/>
  </r>
  <r>
    <n v="319742561"/>
    <x v="2"/>
    <x v="0"/>
    <x v="2"/>
    <n v="94.64"/>
    <n v="3"/>
    <n v="283.92"/>
    <x v="63"/>
    <x v="449"/>
    <x v="2"/>
    <n v="5.5"/>
    <s v="PARTICIPA"/>
  </r>
  <r>
    <n v="532597201"/>
    <x v="1"/>
    <x v="0"/>
    <x v="0"/>
    <n v="79.930000000000007"/>
    <n v="6"/>
    <n v="479.58000000000004"/>
    <x v="35"/>
    <x v="356"/>
    <x v="2"/>
    <n v="5.5"/>
    <s v="PARTICIPA"/>
  </r>
  <r>
    <n v="649113678"/>
    <x v="0"/>
    <x v="1"/>
    <x v="4"/>
    <n v="22.93"/>
    <n v="9"/>
    <n v="206.37"/>
    <x v="90"/>
    <x v="353"/>
    <x v="2"/>
    <n v="5.5"/>
    <s v="NO PARTICIPA"/>
  </r>
  <r>
    <n v="566711091"/>
    <x v="2"/>
    <x v="1"/>
    <x v="3"/>
    <n v="77.02"/>
    <n v="5"/>
    <n v="385.09999999999997"/>
    <x v="1"/>
    <x v="247"/>
    <x v="2"/>
    <n v="5.5"/>
    <s v="NO PARTICIPA"/>
  </r>
  <r>
    <n v="834618124"/>
    <x v="2"/>
    <x v="1"/>
    <x v="2"/>
    <n v="51.69"/>
    <n v="7"/>
    <n v="361.83"/>
    <x v="37"/>
    <x v="274"/>
    <x v="2"/>
    <n v="5.5"/>
    <s v="NO PARTICIPA"/>
  </r>
  <r>
    <n v="256088343"/>
    <x v="2"/>
    <x v="1"/>
    <x v="5"/>
    <n v="56.53"/>
    <n v="4"/>
    <n v="226.12"/>
    <x v="87"/>
    <x v="54"/>
    <x v="1"/>
    <n v="5.5"/>
    <s v="NO PARTICIPA"/>
  </r>
  <r>
    <n v="568883448"/>
    <x v="2"/>
    <x v="1"/>
    <x v="1"/>
    <n v="25"/>
    <n v="1"/>
    <n v="25"/>
    <x v="43"/>
    <x v="450"/>
    <x v="1"/>
    <n v="5.5"/>
    <s v="NO PARTICIPA"/>
  </r>
  <r>
    <n v="405313305"/>
    <x v="2"/>
    <x v="0"/>
    <x v="3"/>
    <n v="43.13"/>
    <n v="10"/>
    <n v="431.3"/>
    <x v="13"/>
    <x v="364"/>
    <x v="0"/>
    <n v="5.5"/>
    <s v="PARTICIPA"/>
  </r>
  <r>
    <n v="632324574"/>
    <x v="1"/>
    <x v="1"/>
    <x v="0"/>
    <n v="75.92"/>
    <n v="8"/>
    <n v="607.36"/>
    <x v="26"/>
    <x v="451"/>
    <x v="2"/>
    <n v="5.5"/>
    <s v="NO PARTICIPA"/>
  </r>
  <r>
    <n v="243472663"/>
    <x v="0"/>
    <x v="0"/>
    <x v="2"/>
    <n v="18.77"/>
    <n v="6"/>
    <n v="112.62"/>
    <x v="10"/>
    <x v="452"/>
    <x v="0"/>
    <n v="5.5"/>
    <s v="PARTICIPA"/>
  </r>
  <r>
    <n v="241112261"/>
    <x v="1"/>
    <x v="1"/>
    <x v="3"/>
    <n v="79.86"/>
    <n v="7"/>
    <n v="559.02"/>
    <x v="94"/>
    <x v="338"/>
    <x v="0"/>
    <n v="5.5"/>
    <s v="NO PARTICIPA"/>
  </r>
  <r>
    <n v="273842164"/>
    <x v="1"/>
    <x v="0"/>
    <x v="2"/>
    <n v="12.05"/>
    <n v="5"/>
    <n v="60.25"/>
    <x v="55"/>
    <x v="385"/>
    <x v="1"/>
    <n v="5.5"/>
    <s v="PARTICIPA"/>
  </r>
  <r>
    <n v="642614706"/>
    <x v="0"/>
    <x v="0"/>
    <x v="4"/>
    <n v="93.4"/>
    <n v="2"/>
    <n v="186.8"/>
    <x v="44"/>
    <x v="453"/>
    <x v="2"/>
    <n v="5.5"/>
    <s v="PARTICIPA"/>
  </r>
  <r>
    <n v="886779084"/>
    <x v="1"/>
    <x v="1"/>
    <x v="2"/>
    <n v="71.89"/>
    <n v="8"/>
    <n v="575.12"/>
    <x v="68"/>
    <x v="454"/>
    <x v="1"/>
    <n v="5.5"/>
    <s v="NO PARTICIPA"/>
  </r>
  <r>
    <n v="443609639"/>
    <x v="1"/>
    <x v="0"/>
    <x v="5"/>
    <n v="60.87"/>
    <n v="1"/>
    <n v="60.87"/>
    <x v="77"/>
    <x v="287"/>
    <x v="2"/>
    <n v="5.5"/>
    <s v="PARTICIPA"/>
  </r>
  <r>
    <n v="452048808"/>
    <x v="0"/>
    <x v="1"/>
    <x v="2"/>
    <n v="87.08"/>
    <n v="7"/>
    <n v="609.55999999999995"/>
    <x v="37"/>
    <x v="455"/>
    <x v="2"/>
    <n v="5.5"/>
    <s v="NO PARTICIPA"/>
  </r>
  <r>
    <n v="817488732"/>
    <x v="2"/>
    <x v="0"/>
    <x v="5"/>
    <n v="72.349999999999994"/>
    <n v="10"/>
    <n v="723.5"/>
    <x v="18"/>
    <x v="141"/>
    <x v="2"/>
    <n v="5.4"/>
    <s v="PARTICIPA"/>
  </r>
  <r>
    <n v="732940499"/>
    <x v="0"/>
    <x v="1"/>
    <x v="2"/>
    <n v="41.65"/>
    <n v="10"/>
    <n v="416.5"/>
    <x v="64"/>
    <x v="375"/>
    <x v="0"/>
    <n v="5.4"/>
    <s v="NO PARTICIPA"/>
  </r>
  <r>
    <n v="731819469"/>
    <x v="0"/>
    <x v="0"/>
    <x v="0"/>
    <n v="89.8"/>
    <n v="10"/>
    <n v="898"/>
    <x v="23"/>
    <x v="185"/>
    <x v="0"/>
    <n v="5.4"/>
    <s v="PARTICIPA"/>
  </r>
  <r>
    <n v="394434238"/>
    <x v="1"/>
    <x v="0"/>
    <x v="5"/>
    <n v="17.77"/>
    <n v="5"/>
    <n v="88.85"/>
    <x v="0"/>
    <x v="426"/>
    <x v="0"/>
    <n v="5.4"/>
    <s v="PARTICIPA"/>
  </r>
  <r>
    <n v="468012051"/>
    <x v="1"/>
    <x v="1"/>
    <x v="4"/>
    <n v="62.08"/>
    <n v="7"/>
    <n v="434.56"/>
    <x v="85"/>
    <x v="336"/>
    <x v="1"/>
    <n v="5.4"/>
    <s v="NO PARTICIPA"/>
  </r>
  <r>
    <n v="815111168"/>
    <x v="2"/>
    <x v="0"/>
    <x v="4"/>
    <n v="99.78"/>
    <n v="5"/>
    <n v="498.9"/>
    <x v="25"/>
    <x v="143"/>
    <x v="2"/>
    <n v="5.4"/>
    <s v="PARTICIPA"/>
  </r>
  <r>
    <n v="613599758"/>
    <x v="0"/>
    <x v="1"/>
    <x v="0"/>
    <n v="14.36"/>
    <n v="10"/>
    <n v="143.6"/>
    <x v="41"/>
    <x v="343"/>
    <x v="2"/>
    <n v="5.4"/>
    <s v="NO PARTICIPA"/>
  </r>
  <r>
    <n v="372261506"/>
    <x v="0"/>
    <x v="1"/>
    <x v="3"/>
    <n v="23.82"/>
    <n v="5"/>
    <n v="119.1"/>
    <x v="10"/>
    <x v="233"/>
    <x v="1"/>
    <n v="5.4"/>
    <s v="NO PARTICIPA"/>
  </r>
  <r>
    <n v="767051286"/>
    <x v="0"/>
    <x v="0"/>
    <x v="5"/>
    <n v="83.77"/>
    <n v="6"/>
    <n v="502.62"/>
    <x v="23"/>
    <x v="456"/>
    <x v="1"/>
    <n v="5.4"/>
    <s v="PARTICIPA"/>
  </r>
  <r>
    <n v="277632961"/>
    <x v="1"/>
    <x v="0"/>
    <x v="0"/>
    <n v="73.97"/>
    <n v="1"/>
    <n v="73.97"/>
    <x v="1"/>
    <x v="385"/>
    <x v="0"/>
    <n v="5.4"/>
    <s v="PARTICIPA"/>
  </r>
  <r>
    <n v="655072265"/>
    <x v="2"/>
    <x v="1"/>
    <x v="2"/>
    <n v="78.31"/>
    <n v="3"/>
    <n v="234.93"/>
    <x v="58"/>
    <x v="285"/>
    <x v="1"/>
    <n v="5.4"/>
    <s v="NO PARTICIPA"/>
  </r>
  <r>
    <n v="427459297"/>
    <x v="0"/>
    <x v="0"/>
    <x v="5"/>
    <n v="40.729999999999997"/>
    <n v="7"/>
    <n v="285.10999999999996"/>
    <x v="59"/>
    <x v="457"/>
    <x v="1"/>
    <n v="5.4"/>
    <s v="PARTICIPA"/>
  </r>
  <r>
    <n v="577347579"/>
    <x v="1"/>
    <x v="0"/>
    <x v="4"/>
    <n v="50.49"/>
    <n v="9"/>
    <n v="454.41"/>
    <x v="73"/>
    <x v="292"/>
    <x v="2"/>
    <n v="5.4"/>
    <s v="PARTICIPA"/>
  </r>
  <r>
    <n v="531564728"/>
    <x v="2"/>
    <x v="1"/>
    <x v="5"/>
    <n v="80.08"/>
    <n v="3"/>
    <n v="240.24"/>
    <x v="57"/>
    <x v="37"/>
    <x v="2"/>
    <n v="5.4"/>
    <s v="NO PARTICIPA"/>
  </r>
  <r>
    <n v="373737910"/>
    <x v="2"/>
    <x v="1"/>
    <x v="0"/>
    <n v="86.31"/>
    <n v="7"/>
    <n v="604.17000000000007"/>
    <x v="83"/>
    <x v="162"/>
    <x v="1"/>
    <n v="5.3"/>
    <s v="NO PARTICIPA"/>
  </r>
  <r>
    <n v="291321427"/>
    <x v="1"/>
    <x v="0"/>
    <x v="3"/>
    <n v="21.94"/>
    <n v="5"/>
    <n v="109.7"/>
    <x v="58"/>
    <x v="192"/>
    <x v="1"/>
    <n v="5.3"/>
    <s v="PARTICIPA"/>
  </r>
  <r>
    <n v="483711164"/>
    <x v="0"/>
    <x v="1"/>
    <x v="1"/>
    <n v="81.3"/>
    <n v="6"/>
    <n v="487.79999999999995"/>
    <x v="42"/>
    <x v="452"/>
    <x v="1"/>
    <n v="5.3"/>
    <s v="NO PARTICIPA"/>
  </r>
  <r>
    <n v="466615506"/>
    <x v="1"/>
    <x v="0"/>
    <x v="2"/>
    <n v="90.7"/>
    <n v="6"/>
    <n v="544.20000000000005"/>
    <x v="90"/>
    <x v="458"/>
    <x v="2"/>
    <n v="5.3"/>
    <s v="PARTICIPA"/>
  </r>
  <r>
    <n v="296117041"/>
    <x v="1"/>
    <x v="0"/>
    <x v="1"/>
    <n v="27.07"/>
    <n v="1"/>
    <n v="27.07"/>
    <x v="76"/>
    <x v="459"/>
    <x v="0"/>
    <n v="5.3"/>
    <s v="NO PARTICIPA"/>
  </r>
  <r>
    <n v="379176588"/>
    <x v="0"/>
    <x v="1"/>
    <x v="3"/>
    <n v="59.61"/>
    <n v="10"/>
    <n v="596.1"/>
    <x v="62"/>
    <x v="294"/>
    <x v="2"/>
    <n v="5.3"/>
    <s v="NO PARTICIPA"/>
  </r>
  <r>
    <n v="585116748"/>
    <x v="1"/>
    <x v="0"/>
    <x v="0"/>
    <n v="96.8"/>
    <n v="3"/>
    <n v="290.39999999999998"/>
    <x v="28"/>
    <x v="102"/>
    <x v="2"/>
    <n v="5.3"/>
    <s v="PARTICIPA"/>
  </r>
  <r>
    <n v="123354896"/>
    <x v="0"/>
    <x v="1"/>
    <x v="0"/>
    <n v="46.66"/>
    <n v="9"/>
    <n v="419.93999999999994"/>
    <x v="5"/>
    <x v="460"/>
    <x v="1"/>
    <n v="5.3"/>
    <s v="NO PARTICIPA"/>
  </r>
  <r>
    <n v="725540677"/>
    <x v="1"/>
    <x v="0"/>
    <x v="1"/>
    <n v="85.6"/>
    <n v="7"/>
    <n v="599.19999999999993"/>
    <x v="1"/>
    <x v="461"/>
    <x v="2"/>
    <n v="5.3"/>
    <s v="PARTICIPA"/>
  </r>
  <r>
    <n v="449166770"/>
    <x v="2"/>
    <x v="1"/>
    <x v="1"/>
    <n v="50.79"/>
    <n v="5"/>
    <n v="253.95"/>
    <x v="68"/>
    <x v="373"/>
    <x v="0"/>
    <n v="5.3"/>
    <s v="NO PARTICIPA"/>
  </r>
  <r>
    <n v="859976048"/>
    <x v="1"/>
    <x v="0"/>
    <x v="2"/>
    <n v="84.25"/>
    <n v="2"/>
    <n v="168.5"/>
    <x v="47"/>
    <x v="31"/>
    <x v="0"/>
    <n v="5.3"/>
    <s v="PARTICIPA"/>
  </r>
  <r>
    <n v="659658956"/>
    <x v="1"/>
    <x v="0"/>
    <x v="3"/>
    <n v="51.36"/>
    <n v="1"/>
    <n v="51.36"/>
    <x v="71"/>
    <x v="154"/>
    <x v="1"/>
    <n v="5.2"/>
    <s v="PARTICIPA"/>
  </r>
  <r>
    <n v="638607125"/>
    <x v="2"/>
    <x v="1"/>
    <x v="2"/>
    <n v="99.56"/>
    <n v="8"/>
    <n v="796.48"/>
    <x v="67"/>
    <x v="354"/>
    <x v="0"/>
    <n v="5.2"/>
    <s v="NO PARTICIPA"/>
  </r>
  <r>
    <n v="290682984"/>
    <x v="2"/>
    <x v="1"/>
    <x v="5"/>
    <n v="23.75"/>
    <n v="4"/>
    <n v="95"/>
    <x v="65"/>
    <x v="333"/>
    <x v="2"/>
    <n v="5.2"/>
    <s v="NO PARTICIPA"/>
  </r>
  <r>
    <n v="283799594"/>
    <x v="1"/>
    <x v="1"/>
    <x v="4"/>
    <n v="48.51"/>
    <n v="7"/>
    <n v="339.57"/>
    <x v="39"/>
    <x v="80"/>
    <x v="0"/>
    <n v="5.2"/>
    <s v="NO PARTICIPA"/>
  </r>
  <r>
    <n v="174363675"/>
    <x v="0"/>
    <x v="0"/>
    <x v="4"/>
    <n v="99.37"/>
    <n v="2"/>
    <n v="198.74"/>
    <x v="67"/>
    <x v="418"/>
    <x v="2"/>
    <n v="5.2"/>
    <s v="PARTICIPA"/>
  </r>
  <r>
    <n v="692278933"/>
    <x v="1"/>
    <x v="1"/>
    <x v="0"/>
    <n v="57.95"/>
    <n v="6"/>
    <n v="347.70000000000005"/>
    <x v="79"/>
    <x v="145"/>
    <x v="2"/>
    <n v="5.2"/>
    <s v="NO PARTICIPA"/>
  </r>
  <r>
    <n v="554422417"/>
    <x v="0"/>
    <x v="1"/>
    <x v="0"/>
    <n v="95.44"/>
    <n v="10"/>
    <n v="954.4"/>
    <x v="86"/>
    <x v="263"/>
    <x v="2"/>
    <n v="5.2"/>
    <s v="NO PARTICIPA"/>
  </r>
  <r>
    <n v="730709830"/>
    <x v="0"/>
    <x v="1"/>
    <x v="5"/>
    <n v="70.11"/>
    <n v="6"/>
    <n v="420.65999999999997"/>
    <x v="62"/>
    <x v="361"/>
    <x v="1"/>
    <n v="5.2"/>
    <s v="NO PARTICIPA"/>
  </r>
  <r>
    <n v="559989873"/>
    <x v="2"/>
    <x v="0"/>
    <x v="3"/>
    <n v="53.65"/>
    <n v="7"/>
    <n v="375.55"/>
    <x v="11"/>
    <x v="462"/>
    <x v="1"/>
    <n v="5.2"/>
    <s v="PARTICIPA"/>
  </r>
  <r>
    <n v="318120304"/>
    <x v="2"/>
    <x v="1"/>
    <x v="3"/>
    <n v="30.61"/>
    <n v="1"/>
    <n v="30.61"/>
    <x v="23"/>
    <x v="271"/>
    <x v="1"/>
    <n v="5.2"/>
    <s v="NO PARTICIPA"/>
  </r>
  <r>
    <n v="266206657"/>
    <x v="1"/>
    <x v="0"/>
    <x v="4"/>
    <n v="55.04"/>
    <n v="7"/>
    <n v="385.28"/>
    <x v="59"/>
    <x v="228"/>
    <x v="1"/>
    <n v="5.2"/>
    <s v="PARTICIPA"/>
  </r>
  <r>
    <n v="457131708"/>
    <x v="0"/>
    <x v="0"/>
    <x v="3"/>
    <n v="65.23"/>
    <n v="10"/>
    <n v="652.30000000000007"/>
    <x v="72"/>
    <x v="272"/>
    <x v="0"/>
    <n v="5.2"/>
    <s v="PARTICIPA"/>
  </r>
  <r>
    <n v="538220304"/>
    <x v="1"/>
    <x v="1"/>
    <x v="2"/>
    <n v="64.95"/>
    <n v="10"/>
    <n v="649.5"/>
    <x v="48"/>
    <x v="203"/>
    <x v="2"/>
    <n v="5.2"/>
    <s v="NO PARTICIPA"/>
  </r>
  <r>
    <n v="838021821"/>
    <x v="1"/>
    <x v="0"/>
    <x v="5"/>
    <n v="12.73"/>
    <n v="2"/>
    <n v="25.46"/>
    <x v="46"/>
    <x v="456"/>
    <x v="0"/>
    <n v="5.2"/>
    <s v="NO PARTICIPA"/>
  </r>
  <r>
    <n v="321497382"/>
    <x v="0"/>
    <x v="0"/>
    <x v="0"/>
    <n v="88.31"/>
    <n v="1"/>
    <n v="88.31"/>
    <x v="0"/>
    <x v="95"/>
    <x v="0"/>
    <n v="5.2"/>
    <s v="PARTICIPA"/>
  </r>
  <r>
    <n v="371855789"/>
    <x v="1"/>
    <x v="1"/>
    <x v="1"/>
    <n v="87.98"/>
    <n v="3"/>
    <n v="263.94"/>
    <x v="58"/>
    <x v="463"/>
    <x v="1"/>
    <n v="5.0999999999999996"/>
    <s v="NO PARTICIPA"/>
  </r>
  <r>
    <n v="640492076"/>
    <x v="1"/>
    <x v="1"/>
    <x v="0"/>
    <n v="83.78"/>
    <n v="8"/>
    <n v="670.24"/>
    <x v="94"/>
    <x v="350"/>
    <x v="2"/>
    <n v="5.0999999999999996"/>
    <s v="NO PARTICIPA"/>
  </r>
  <r>
    <n v="595115460"/>
    <x v="2"/>
    <x v="1"/>
    <x v="1"/>
    <n v="96.58"/>
    <n v="2"/>
    <n v="193.16"/>
    <x v="28"/>
    <x v="129"/>
    <x v="0"/>
    <n v="5.0999999999999996"/>
    <s v="NO PARTICIPA"/>
  </r>
  <r>
    <n v="873510671"/>
    <x v="2"/>
    <x v="0"/>
    <x v="0"/>
    <n v="21.98"/>
    <n v="7"/>
    <n v="153.86000000000001"/>
    <x v="94"/>
    <x v="464"/>
    <x v="1"/>
    <n v="5.0999999999999996"/>
    <s v="PARTICIPA"/>
  </r>
  <r>
    <n v="766857061"/>
    <x v="1"/>
    <x v="1"/>
    <x v="1"/>
    <n v="87.87"/>
    <n v="10"/>
    <n v="878.7"/>
    <x v="24"/>
    <x v="317"/>
    <x v="1"/>
    <n v="5.0999999999999996"/>
    <s v="NO PARTICIPA"/>
  </r>
  <r>
    <n v="573589734"/>
    <x v="1"/>
    <x v="1"/>
    <x v="3"/>
    <n v="30.37"/>
    <n v="3"/>
    <n v="91.11"/>
    <x v="8"/>
    <x v="465"/>
    <x v="1"/>
    <n v="5.0999999999999996"/>
    <s v="NO PARTICIPA"/>
  </r>
  <r>
    <n v="633911052"/>
    <x v="2"/>
    <x v="1"/>
    <x v="5"/>
    <n v="12.03"/>
    <n v="2"/>
    <n v="24.06"/>
    <x v="41"/>
    <x v="206"/>
    <x v="2"/>
    <n v="5.0999999999999996"/>
    <s v="NO PARTICIPA"/>
  </r>
  <r>
    <n v="531801784"/>
    <x v="2"/>
    <x v="1"/>
    <x v="2"/>
    <n v="26.02"/>
    <n v="7"/>
    <n v="182.14"/>
    <x v="8"/>
    <x v="95"/>
    <x v="2"/>
    <n v="5.0999999999999996"/>
    <s v="NO PARTICIPA"/>
  </r>
  <r>
    <n v="244080162"/>
    <x v="1"/>
    <x v="1"/>
    <x v="1"/>
    <n v="34.21"/>
    <n v="10"/>
    <n v="342.1"/>
    <x v="92"/>
    <x v="185"/>
    <x v="2"/>
    <n v="5.0999999999999996"/>
    <s v="NO PARTICIPA"/>
  </r>
  <r>
    <n v="602809671"/>
    <x v="0"/>
    <x v="0"/>
    <x v="5"/>
    <n v="15.95"/>
    <n v="6"/>
    <n v="95.699999999999989"/>
    <x v="93"/>
    <x v="324"/>
    <x v="0"/>
    <n v="5.0999999999999996"/>
    <s v="PARTICIPA"/>
  </r>
  <r>
    <n v="358889262"/>
    <x v="0"/>
    <x v="0"/>
    <x v="4"/>
    <n v="87.48"/>
    <n v="6"/>
    <n v="524.88"/>
    <x v="50"/>
    <x v="187"/>
    <x v="1"/>
    <n v="5.0999999999999996"/>
    <s v="PARTICIPA"/>
  </r>
  <r>
    <n v="149157606"/>
    <x v="0"/>
    <x v="0"/>
    <x v="0"/>
    <n v="37.32"/>
    <n v="9"/>
    <n v="335.88"/>
    <x v="58"/>
    <x v="136"/>
    <x v="1"/>
    <n v="5.0999999999999996"/>
    <s v="PARTICIPA"/>
  </r>
  <r>
    <n v="678790726"/>
    <x v="1"/>
    <x v="0"/>
    <x v="0"/>
    <n v="90.63"/>
    <n v="9"/>
    <n v="815.67"/>
    <x v="19"/>
    <x v="253"/>
    <x v="2"/>
    <n v="5.0999999999999996"/>
    <s v="PARTICIPA"/>
  </r>
  <r>
    <n v="324416833"/>
    <x v="1"/>
    <x v="0"/>
    <x v="2"/>
    <n v="30.2"/>
    <n v="8"/>
    <n v="241.6"/>
    <x v="43"/>
    <x v="214"/>
    <x v="1"/>
    <n v="5.0999999999999996"/>
    <s v="PARTICIPA"/>
  </r>
  <r>
    <n v="670717306"/>
    <x v="0"/>
    <x v="1"/>
    <x v="0"/>
    <n v="44.63"/>
    <n v="6"/>
    <n v="267.78000000000003"/>
    <x v="50"/>
    <x v="466"/>
    <x v="0"/>
    <n v="5.0999999999999996"/>
    <s v="NO PARTICIPA"/>
  </r>
  <r>
    <n v="234362483"/>
    <x v="0"/>
    <x v="1"/>
    <x v="1"/>
    <n v="57.59"/>
    <n v="6"/>
    <n v="345.54"/>
    <x v="0"/>
    <x v="369"/>
    <x v="2"/>
    <n v="5.0999999999999996"/>
    <s v="NO PARTICIPA"/>
  </r>
  <r>
    <n v="509100516"/>
    <x v="0"/>
    <x v="1"/>
    <x v="5"/>
    <n v="45.97"/>
    <n v="4"/>
    <n v="183.88"/>
    <x v="81"/>
    <x v="73"/>
    <x v="1"/>
    <n v="5.0999999999999996"/>
    <s v="NO PARTICIPA"/>
  </r>
  <r>
    <n v="246556923"/>
    <x v="1"/>
    <x v="0"/>
    <x v="5"/>
    <n v="35.79"/>
    <n v="9"/>
    <n v="322.11"/>
    <x v="82"/>
    <x v="248"/>
    <x v="0"/>
    <n v="5.0999999999999996"/>
    <s v="PARTICIPA"/>
  </r>
  <r>
    <n v="243558457"/>
    <x v="2"/>
    <x v="1"/>
    <x v="4"/>
    <n v="74.44"/>
    <n v="10"/>
    <n v="744.4"/>
    <x v="61"/>
    <x v="48"/>
    <x v="1"/>
    <n v="5.0999999999999996"/>
    <s v="NO PARTICIPA"/>
  </r>
  <r>
    <n v="235068510"/>
    <x v="1"/>
    <x v="0"/>
    <x v="5"/>
    <n v="85.72"/>
    <n v="3"/>
    <n v="257.15999999999997"/>
    <x v="77"/>
    <x v="169"/>
    <x v="1"/>
    <n v="5.0999999999999996"/>
    <s v="PARTICIPA"/>
  </r>
  <r>
    <n v="156200370"/>
    <x v="0"/>
    <x v="1"/>
    <x v="2"/>
    <n v="25.45"/>
    <n v="1"/>
    <n v="25.45"/>
    <x v="82"/>
    <x v="427"/>
    <x v="0"/>
    <n v="5.0999999999999996"/>
    <s v="NO PARTICIPA"/>
  </r>
  <r>
    <n v="556863144"/>
    <x v="0"/>
    <x v="0"/>
    <x v="3"/>
    <n v="74.290000000000006"/>
    <n v="1"/>
    <n v="74.290000000000006"/>
    <x v="64"/>
    <x v="214"/>
    <x v="2"/>
    <n v="5"/>
    <s v="PARTICIPA"/>
  </r>
  <r>
    <n v="423644619"/>
    <x v="2"/>
    <x v="0"/>
    <x v="1"/>
    <n v="15.55"/>
    <n v="9"/>
    <n v="139.95000000000002"/>
    <x v="32"/>
    <x v="281"/>
    <x v="2"/>
    <n v="5"/>
    <s v="PARTICIPA"/>
  </r>
  <r>
    <n v="489644354"/>
    <x v="0"/>
    <x v="1"/>
    <x v="3"/>
    <n v="16.28"/>
    <n v="1"/>
    <n v="16.28"/>
    <x v="25"/>
    <x v="112"/>
    <x v="2"/>
    <n v="5"/>
    <s v="NO PARTICIPA"/>
  </r>
  <r>
    <n v="674159296"/>
    <x v="2"/>
    <x v="1"/>
    <x v="0"/>
    <n v="37.14"/>
    <n v="5"/>
    <n v="185.7"/>
    <x v="51"/>
    <x v="102"/>
    <x v="1"/>
    <n v="5"/>
    <s v="NO PARTICIPA"/>
  </r>
  <r>
    <n v="133147229"/>
    <x v="0"/>
    <x v="1"/>
    <x v="1"/>
    <n v="62.87"/>
    <n v="2"/>
    <n v="125.74"/>
    <x v="74"/>
    <x v="199"/>
    <x v="2"/>
    <n v="5"/>
    <s v="NO PARTICIPA"/>
  </r>
  <r>
    <n v="339124827"/>
    <x v="1"/>
    <x v="0"/>
    <x v="3"/>
    <n v="73.959999999999994"/>
    <n v="1"/>
    <n v="73.959999999999994"/>
    <x v="45"/>
    <x v="33"/>
    <x v="0"/>
    <n v="5"/>
    <s v="PARTICIPA"/>
  </r>
  <r>
    <n v="173501108"/>
    <x v="1"/>
    <x v="0"/>
    <x v="0"/>
    <n v="20.18"/>
    <n v="4"/>
    <n v="80.72"/>
    <x v="59"/>
    <x v="318"/>
    <x v="0"/>
    <n v="5"/>
    <s v="PARTICIPA"/>
  </r>
  <r>
    <n v="760902357"/>
    <x v="2"/>
    <x v="0"/>
    <x v="2"/>
    <n v="74.510000000000005"/>
    <n v="6"/>
    <n v="447.06000000000006"/>
    <x v="26"/>
    <x v="218"/>
    <x v="1"/>
    <n v="5"/>
    <s v="PARTICIPA"/>
  </r>
  <r>
    <n v="628908624"/>
    <x v="0"/>
    <x v="0"/>
    <x v="1"/>
    <n v="82.58"/>
    <n v="10"/>
    <n v="825.8"/>
    <x v="62"/>
    <x v="402"/>
    <x v="2"/>
    <n v="5"/>
    <s v="PARTICIPA"/>
  </r>
  <r>
    <n v="182882763"/>
    <x v="0"/>
    <x v="0"/>
    <x v="4"/>
    <n v="79.91"/>
    <n v="3"/>
    <n v="239.73"/>
    <x v="26"/>
    <x v="256"/>
    <x v="0"/>
    <n v="5"/>
    <s v="PARTICIPA"/>
  </r>
  <r>
    <n v="188550967"/>
    <x v="0"/>
    <x v="0"/>
    <x v="1"/>
    <n v="66.47"/>
    <n v="10"/>
    <n v="664.7"/>
    <x v="38"/>
    <x v="6"/>
    <x v="0"/>
    <n v="5"/>
    <s v="PARTICIPA"/>
  </r>
  <r>
    <n v="191290321"/>
    <x v="0"/>
    <x v="0"/>
    <x v="3"/>
    <n v="19.77"/>
    <n v="10"/>
    <n v="197.7"/>
    <x v="61"/>
    <x v="467"/>
    <x v="0"/>
    <n v="5"/>
    <s v="PARTICIPA"/>
  </r>
  <r>
    <n v="380605336"/>
    <x v="2"/>
    <x v="1"/>
    <x v="2"/>
    <n v="40.26"/>
    <n v="10"/>
    <n v="402.59999999999997"/>
    <x v="79"/>
    <x v="90"/>
    <x v="0"/>
    <n v="5"/>
    <s v="NO PARTICIPA"/>
  </r>
  <r>
    <n v="778342523"/>
    <x v="2"/>
    <x v="0"/>
    <x v="2"/>
    <n v="48.62"/>
    <n v="8"/>
    <n v="388.96"/>
    <x v="77"/>
    <x v="120"/>
    <x v="2"/>
    <n v="5"/>
    <s v="PARTICIPA"/>
  </r>
  <r>
    <n v="499277781"/>
    <x v="0"/>
    <x v="1"/>
    <x v="4"/>
    <n v="53.21"/>
    <n v="8"/>
    <n v="425.68"/>
    <x v="62"/>
    <x v="265"/>
    <x v="1"/>
    <n v="5"/>
    <s v="NO PARTICIPA"/>
  </r>
  <r>
    <n v="271778740"/>
    <x v="1"/>
    <x v="0"/>
    <x v="0"/>
    <n v="29.22"/>
    <n v="6"/>
    <n v="175.32"/>
    <x v="74"/>
    <x v="48"/>
    <x v="1"/>
    <n v="5"/>
    <s v="PARTICIPA"/>
  </r>
  <r>
    <n v="860736466"/>
    <x v="2"/>
    <x v="0"/>
    <x v="0"/>
    <n v="39.47"/>
    <n v="2"/>
    <n v="78.94"/>
    <x v="1"/>
    <x v="468"/>
    <x v="0"/>
    <n v="5"/>
    <s v="PARTICIPA"/>
  </r>
  <r>
    <n v="658663967"/>
    <x v="1"/>
    <x v="1"/>
    <x v="1"/>
    <n v="53.19"/>
    <n v="7"/>
    <n v="372.33"/>
    <x v="14"/>
    <x v="358"/>
    <x v="1"/>
    <n v="5"/>
    <s v="NO PARTICIPA"/>
  </r>
  <r>
    <n v="316663011"/>
    <x v="2"/>
    <x v="0"/>
    <x v="4"/>
    <n v="47.63"/>
    <n v="9"/>
    <n v="428.67"/>
    <x v="23"/>
    <x v="469"/>
    <x v="2"/>
    <n v="5"/>
    <s v="PARTICIPA"/>
  </r>
  <r>
    <n v="460935834"/>
    <x v="2"/>
    <x v="1"/>
    <x v="0"/>
    <n v="45.58"/>
    <n v="7"/>
    <n v="319.06"/>
    <x v="64"/>
    <x v="470"/>
    <x v="2"/>
    <n v="5"/>
    <s v="NO PARTICIPA"/>
  </r>
  <r>
    <n v="781848059"/>
    <x v="1"/>
    <x v="1"/>
    <x v="3"/>
    <n v="60.74"/>
    <n v="7"/>
    <n v="425.18"/>
    <x v="19"/>
    <x v="160"/>
    <x v="1"/>
    <n v="5"/>
    <s v="NO PARTICIPA"/>
  </r>
  <r>
    <n v="551213069"/>
    <x v="0"/>
    <x v="1"/>
    <x v="2"/>
    <n v="23.07"/>
    <n v="9"/>
    <n v="207.63"/>
    <x v="50"/>
    <x v="258"/>
    <x v="2"/>
    <n v="4.9000000000000004"/>
    <s v="NO PARTICIPA"/>
  </r>
  <r>
    <n v="238490436"/>
    <x v="2"/>
    <x v="1"/>
    <x v="1"/>
    <n v="32.46"/>
    <n v="8"/>
    <n v="259.68"/>
    <x v="2"/>
    <x v="184"/>
    <x v="0"/>
    <n v="4.9000000000000004"/>
    <s v="NO PARTICIPA"/>
  </r>
  <r>
    <n v="848249445"/>
    <x v="0"/>
    <x v="0"/>
    <x v="1"/>
    <n v="43.7"/>
    <n v="2"/>
    <n v="87.4"/>
    <x v="47"/>
    <x v="24"/>
    <x v="2"/>
    <n v="4.9000000000000004"/>
    <s v="PARTICIPA"/>
  </r>
  <r>
    <n v="142636033"/>
    <x v="1"/>
    <x v="1"/>
    <x v="5"/>
    <n v="92.36"/>
    <n v="5"/>
    <n v="461.8"/>
    <x v="26"/>
    <x v="44"/>
    <x v="1"/>
    <n v="4.9000000000000004"/>
    <s v="NO PARTICIPA"/>
  </r>
  <r>
    <n v="211309270"/>
    <x v="0"/>
    <x v="1"/>
    <x v="1"/>
    <n v="17.41"/>
    <n v="5"/>
    <n v="87.05"/>
    <x v="10"/>
    <x v="167"/>
    <x v="0"/>
    <n v="4.9000000000000004"/>
    <s v="NO PARTICIPA"/>
  </r>
  <r>
    <n v="478067835"/>
    <x v="2"/>
    <x v="1"/>
    <x v="3"/>
    <n v="89.69"/>
    <n v="1"/>
    <n v="89.69"/>
    <x v="34"/>
    <x v="471"/>
    <x v="1"/>
    <n v="4.9000000000000004"/>
    <s v="NO PARTICIPA"/>
  </r>
  <r>
    <n v="603070961"/>
    <x v="0"/>
    <x v="0"/>
    <x v="2"/>
    <n v="74.790000000000006"/>
    <n v="5"/>
    <n v="373.95000000000005"/>
    <x v="94"/>
    <x v="472"/>
    <x v="2"/>
    <n v="4.9000000000000004"/>
    <s v="PARTICIPA"/>
  </r>
  <r>
    <n v="261128671"/>
    <x v="1"/>
    <x v="1"/>
    <x v="3"/>
    <n v="60.96"/>
    <n v="2"/>
    <n v="121.92"/>
    <x v="39"/>
    <x v="228"/>
    <x v="0"/>
    <n v="4.9000000000000004"/>
    <s v="NO PARTICIPA"/>
  </r>
  <r>
    <n v="587037455"/>
    <x v="0"/>
    <x v="0"/>
    <x v="3"/>
    <n v="97.79"/>
    <n v="7"/>
    <n v="684.53000000000009"/>
    <x v="55"/>
    <x v="473"/>
    <x v="1"/>
    <n v="4.9000000000000004"/>
    <s v="PARTICIPA"/>
  </r>
  <r>
    <n v="308810538"/>
    <x v="2"/>
    <x v="1"/>
    <x v="3"/>
    <n v="73.05"/>
    <n v="4"/>
    <n v="292.2"/>
    <x v="4"/>
    <x v="292"/>
    <x v="0"/>
    <n v="4.9000000000000004"/>
    <s v="NO PARTICIPA"/>
  </r>
  <r>
    <n v="701235550"/>
    <x v="1"/>
    <x v="0"/>
    <x v="5"/>
    <n v="38.81"/>
    <n v="4"/>
    <n v="155.24"/>
    <x v="12"/>
    <x v="1"/>
    <x v="1"/>
    <n v="4.9000000000000004"/>
    <s v="PARTICIPA"/>
  </r>
  <r>
    <n v="670796321"/>
    <x v="0"/>
    <x v="0"/>
    <x v="5"/>
    <n v="94.59"/>
    <n v="7"/>
    <n v="662.13"/>
    <x v="40"/>
    <x v="209"/>
    <x v="0"/>
    <n v="4.9000000000000004"/>
    <s v="PARTICIPA"/>
  </r>
  <r>
    <n v="491383499"/>
    <x v="2"/>
    <x v="0"/>
    <x v="3"/>
    <n v="55.45"/>
    <n v="1"/>
    <n v="55.45"/>
    <x v="90"/>
    <x v="474"/>
    <x v="0"/>
    <n v="4.9000000000000004"/>
    <s v="PARTICIPA"/>
  </r>
  <r>
    <n v="510790415"/>
    <x v="0"/>
    <x v="0"/>
    <x v="0"/>
    <n v="23.08"/>
    <n v="6"/>
    <n v="138.47999999999999"/>
    <x v="77"/>
    <x v="200"/>
    <x v="1"/>
    <n v="4.9000000000000004"/>
    <s v="PARTICIPA"/>
  </r>
  <r>
    <n v="785960615"/>
    <x v="0"/>
    <x v="0"/>
    <x v="2"/>
    <n v="35.74"/>
    <n v="8"/>
    <n v="285.92"/>
    <x v="5"/>
    <x v="253"/>
    <x v="1"/>
    <n v="4.9000000000000004"/>
    <s v="PARTICIPA"/>
  </r>
  <r>
    <n v="744167898"/>
    <x v="0"/>
    <x v="1"/>
    <x v="5"/>
    <n v="97.37"/>
    <n v="10"/>
    <n v="973.7"/>
    <x v="38"/>
    <x v="184"/>
    <x v="0"/>
    <n v="4.9000000000000004"/>
    <s v="NO PARTICIPA"/>
  </r>
  <r>
    <n v="101814070"/>
    <x v="1"/>
    <x v="0"/>
    <x v="1"/>
    <n v="62.82"/>
    <n v="2"/>
    <n v="125.64"/>
    <x v="40"/>
    <x v="409"/>
    <x v="1"/>
    <n v="4.9000000000000004"/>
    <s v="PARTICIPA"/>
  </r>
  <r>
    <n v="518716847"/>
    <x v="0"/>
    <x v="0"/>
    <x v="4"/>
    <n v="26.6"/>
    <n v="6"/>
    <n v="159.60000000000002"/>
    <x v="90"/>
    <x v="201"/>
    <x v="1"/>
    <n v="4.9000000000000004"/>
    <s v="PARTICIPA"/>
  </r>
  <r>
    <n v="300714605"/>
    <x v="0"/>
    <x v="0"/>
    <x v="2"/>
    <n v="86.04"/>
    <n v="5"/>
    <n v="430.20000000000005"/>
    <x v="4"/>
    <x v="475"/>
    <x v="1"/>
    <n v="4.8"/>
    <s v="PARTICIPA"/>
  </r>
  <r>
    <n v="871798483"/>
    <x v="1"/>
    <x v="1"/>
    <x v="3"/>
    <n v="94.13"/>
    <n v="5"/>
    <n v="470.65"/>
    <x v="4"/>
    <x v="228"/>
    <x v="0"/>
    <n v="4.8"/>
    <s v="NO PARTICIPA"/>
  </r>
  <r>
    <n v="608963517"/>
    <x v="1"/>
    <x v="0"/>
    <x v="3"/>
    <n v="91.54"/>
    <n v="4"/>
    <n v="366.16"/>
    <x v="53"/>
    <x v="200"/>
    <x v="0"/>
    <n v="4.8"/>
    <s v="PARTICIPA"/>
  </r>
  <r>
    <n v="234652137"/>
    <x v="0"/>
    <x v="1"/>
    <x v="5"/>
    <n v="95.58"/>
    <n v="10"/>
    <n v="955.8"/>
    <x v="71"/>
    <x v="476"/>
    <x v="2"/>
    <n v="4.8"/>
    <s v="NO PARTICIPA"/>
  </r>
  <r>
    <n v="139522867"/>
    <x v="0"/>
    <x v="1"/>
    <x v="3"/>
    <n v="22.51"/>
    <n v="7"/>
    <n v="157.57000000000002"/>
    <x v="59"/>
    <x v="35"/>
    <x v="0"/>
    <n v="4.8"/>
    <s v="NO PARTICIPA"/>
  </r>
  <r>
    <n v="866057563"/>
    <x v="1"/>
    <x v="0"/>
    <x v="2"/>
    <n v="81.400000000000006"/>
    <n v="3"/>
    <n v="244.20000000000002"/>
    <x v="93"/>
    <x v="390"/>
    <x v="2"/>
    <n v="4.8"/>
    <s v="PARTICIPA"/>
  </r>
  <r>
    <n v="400451220"/>
    <x v="1"/>
    <x v="1"/>
    <x v="1"/>
    <n v="13.5"/>
    <n v="10"/>
    <n v="135"/>
    <x v="61"/>
    <x v="477"/>
    <x v="0"/>
    <n v="4.8"/>
    <s v="NO PARTICIPA"/>
  </r>
  <r>
    <n v="565676697"/>
    <x v="1"/>
    <x v="0"/>
    <x v="5"/>
    <n v="27"/>
    <n v="9"/>
    <n v="243"/>
    <x v="1"/>
    <x v="434"/>
    <x v="2"/>
    <n v="4.8"/>
    <s v="PARTICIPA"/>
  </r>
  <r>
    <n v="727170390"/>
    <x v="2"/>
    <x v="1"/>
    <x v="4"/>
    <n v="63.61"/>
    <n v="5"/>
    <n v="318.05"/>
    <x v="65"/>
    <x v="182"/>
    <x v="1"/>
    <n v="4.8"/>
    <s v="NO PARTICIPA"/>
  </r>
  <r>
    <n v="880350356"/>
    <x v="2"/>
    <x v="0"/>
    <x v="0"/>
    <n v="75.2"/>
    <n v="3"/>
    <n v="225.60000000000002"/>
    <x v="36"/>
    <x v="278"/>
    <x v="1"/>
    <n v="4.8"/>
    <s v="PARTICIPA"/>
  </r>
  <r>
    <n v="811038790"/>
    <x v="2"/>
    <x v="1"/>
    <x v="2"/>
    <n v="45.48"/>
    <n v="10"/>
    <n v="454.79999999999995"/>
    <x v="29"/>
    <x v="407"/>
    <x v="0"/>
    <n v="4.8"/>
    <s v="NO PARTICIPA"/>
  </r>
  <r>
    <n v="162658559"/>
    <x v="1"/>
    <x v="0"/>
    <x v="4"/>
    <n v="68.98"/>
    <n v="1"/>
    <n v="68.98"/>
    <x v="75"/>
    <x v="478"/>
    <x v="2"/>
    <n v="4.8"/>
    <s v="PARTICIPA"/>
  </r>
  <r>
    <n v="635285728"/>
    <x v="2"/>
    <x v="1"/>
    <x v="1"/>
    <n v="56"/>
    <n v="3"/>
    <n v="168"/>
    <x v="69"/>
    <x v="447"/>
    <x v="1"/>
    <n v="4.8"/>
    <s v="NO PARTICIPA"/>
  </r>
  <r>
    <n v="272651806"/>
    <x v="2"/>
    <x v="1"/>
    <x v="2"/>
    <n v="60.88"/>
    <n v="9"/>
    <n v="547.92000000000007"/>
    <x v="38"/>
    <x v="479"/>
    <x v="1"/>
    <n v="4.7"/>
    <s v="NO PARTICIPA"/>
  </r>
  <r>
    <n v="278977759"/>
    <x v="2"/>
    <x v="0"/>
    <x v="2"/>
    <n v="62.48"/>
    <n v="1"/>
    <n v="62.48"/>
    <x v="20"/>
    <x v="66"/>
    <x v="2"/>
    <n v="4.7"/>
    <s v="PARTICIPA"/>
  </r>
  <r>
    <n v="573103877"/>
    <x v="1"/>
    <x v="0"/>
    <x v="1"/>
    <n v="39.01"/>
    <n v="1"/>
    <n v="39.01"/>
    <x v="59"/>
    <x v="424"/>
    <x v="0"/>
    <n v="4.7"/>
    <s v="PARTICIPA"/>
  </r>
  <r>
    <n v="439547422"/>
    <x v="2"/>
    <x v="1"/>
    <x v="2"/>
    <n v="51.19"/>
    <n v="4"/>
    <n v="204.76"/>
    <x v="30"/>
    <x v="324"/>
    <x v="0"/>
    <n v="4.7"/>
    <s v="NO PARTICIPA"/>
  </r>
  <r>
    <n v="512981403"/>
    <x v="2"/>
    <x v="0"/>
    <x v="2"/>
    <n v="26.48"/>
    <n v="3"/>
    <n v="79.44"/>
    <x v="23"/>
    <x v="463"/>
    <x v="1"/>
    <n v="4.7"/>
    <s v="PARTICIPA"/>
  </r>
  <r>
    <n v="725963778"/>
    <x v="0"/>
    <x v="0"/>
    <x v="5"/>
    <n v="89.25"/>
    <n v="8"/>
    <n v="714"/>
    <x v="18"/>
    <x v="417"/>
    <x v="2"/>
    <n v="4.7"/>
    <s v="PARTICIPA"/>
  </r>
  <r>
    <n v="187835490"/>
    <x v="2"/>
    <x v="0"/>
    <x v="2"/>
    <n v="20.77"/>
    <n v="4"/>
    <n v="83.08"/>
    <x v="35"/>
    <x v="480"/>
    <x v="2"/>
    <n v="4.7"/>
    <s v="PARTICIPA"/>
  </r>
  <r>
    <n v="420047590"/>
    <x v="0"/>
    <x v="1"/>
    <x v="5"/>
    <n v="99.7"/>
    <n v="3"/>
    <n v="299.10000000000002"/>
    <x v="30"/>
    <x v="481"/>
    <x v="1"/>
    <n v="4.7"/>
    <s v="NO PARTICIPA"/>
  </r>
  <r>
    <n v="155453814"/>
    <x v="1"/>
    <x v="0"/>
    <x v="2"/>
    <n v="88.55"/>
    <n v="8"/>
    <n v="708.4"/>
    <x v="12"/>
    <x v="37"/>
    <x v="1"/>
    <n v="4.7"/>
    <s v="PARTICIPA"/>
  </r>
  <r>
    <n v="593144239"/>
    <x v="0"/>
    <x v="1"/>
    <x v="5"/>
    <n v="95.46"/>
    <n v="8"/>
    <n v="763.68"/>
    <x v="58"/>
    <x v="13"/>
    <x v="1"/>
    <n v="4.7"/>
    <s v="NO PARTICIPA"/>
  </r>
  <r>
    <n v="676102200"/>
    <x v="0"/>
    <x v="0"/>
    <x v="3"/>
    <n v="53.78"/>
    <n v="1"/>
    <n v="53.78"/>
    <x v="1"/>
    <x v="478"/>
    <x v="1"/>
    <n v="4.7"/>
    <s v="PARTICIPA"/>
  </r>
  <r>
    <n v="305892768"/>
    <x v="0"/>
    <x v="0"/>
    <x v="5"/>
    <n v="21.9"/>
    <n v="3"/>
    <n v="65.699999999999989"/>
    <x v="91"/>
    <x v="187"/>
    <x v="1"/>
    <n v="4.7"/>
    <s v="PARTICIPA"/>
  </r>
  <r>
    <n v="656959349"/>
    <x v="2"/>
    <x v="0"/>
    <x v="1"/>
    <n v="68.930000000000007"/>
    <n v="7"/>
    <n v="482.51000000000005"/>
    <x v="64"/>
    <x v="482"/>
    <x v="0"/>
    <n v="4.5999999999999996"/>
    <s v="PARTICIPA"/>
  </r>
  <r>
    <n v="479268945"/>
    <x v="1"/>
    <x v="0"/>
    <x v="0"/>
    <n v="16.489999999999998"/>
    <n v="2"/>
    <n v="32.979999999999997"/>
    <x v="36"/>
    <x v="33"/>
    <x v="1"/>
    <n v="4.5999999999999996"/>
    <s v="PARTICIPA"/>
  </r>
  <r>
    <n v="336782147"/>
    <x v="0"/>
    <x v="0"/>
    <x v="5"/>
    <n v="63.91"/>
    <n v="8"/>
    <n v="511.28"/>
    <x v="49"/>
    <x v="483"/>
    <x v="0"/>
    <n v="4.5999999999999996"/>
    <s v="PARTICIPA"/>
  </r>
  <r>
    <n v="437588131"/>
    <x v="1"/>
    <x v="1"/>
    <x v="3"/>
    <n v="73.52"/>
    <n v="2"/>
    <n v="147.04"/>
    <x v="38"/>
    <x v="465"/>
    <x v="1"/>
    <n v="4.5999999999999996"/>
    <s v="NO PARTICIPA"/>
  </r>
  <r>
    <n v="316013952"/>
    <x v="2"/>
    <x v="1"/>
    <x v="4"/>
    <n v="54.27"/>
    <n v="5"/>
    <n v="271.35000000000002"/>
    <x v="49"/>
    <x v="434"/>
    <x v="1"/>
    <n v="4.5999999999999996"/>
    <s v="NO PARTICIPA"/>
  </r>
  <r>
    <n v="731597531"/>
    <x v="1"/>
    <x v="0"/>
    <x v="1"/>
    <n v="72.569999999999993"/>
    <n v="8"/>
    <n v="580.55999999999995"/>
    <x v="44"/>
    <x v="77"/>
    <x v="2"/>
    <n v="4.5999999999999996"/>
    <s v="PARTICIPA"/>
  </r>
  <r>
    <n v="242113142"/>
    <x v="0"/>
    <x v="0"/>
    <x v="3"/>
    <n v="83.77"/>
    <n v="2"/>
    <n v="167.54"/>
    <x v="79"/>
    <x v="56"/>
    <x v="2"/>
    <n v="4.5999999999999996"/>
    <s v="PARTICIPA"/>
  </r>
  <r>
    <n v="146095432"/>
    <x v="2"/>
    <x v="0"/>
    <x v="4"/>
    <n v="35.04"/>
    <n v="9"/>
    <n v="315.36"/>
    <x v="81"/>
    <x v="44"/>
    <x v="1"/>
    <n v="4.5999999999999996"/>
    <s v="PARTICIPA"/>
  </r>
  <r>
    <n v="351620822"/>
    <x v="1"/>
    <x v="0"/>
    <x v="3"/>
    <n v="14.48"/>
    <n v="4"/>
    <n v="57.92"/>
    <x v="54"/>
    <x v="484"/>
    <x v="1"/>
    <n v="4.5"/>
    <s v="PARTICIPA"/>
  </r>
  <r>
    <n v="299461805"/>
    <x v="1"/>
    <x v="0"/>
    <x v="0"/>
    <n v="93.72"/>
    <n v="6"/>
    <n v="562.31999999999994"/>
    <x v="38"/>
    <x v="421"/>
    <x v="2"/>
    <n v="4.5"/>
    <s v="PARTICIPA"/>
  </r>
  <r>
    <n v="149716266"/>
    <x v="1"/>
    <x v="0"/>
    <x v="0"/>
    <n v="78.069999999999993"/>
    <n v="9"/>
    <n v="702.62999999999988"/>
    <x v="10"/>
    <x v="182"/>
    <x v="2"/>
    <n v="4.5"/>
    <s v="PARTICIPA"/>
  </r>
  <r>
    <n v="668908900"/>
    <x v="2"/>
    <x v="1"/>
    <x v="5"/>
    <n v="93.69"/>
    <n v="7"/>
    <n v="655.82999999999993"/>
    <x v="82"/>
    <x v="268"/>
    <x v="0"/>
    <n v="4.5"/>
    <s v="NO PARTICIPA"/>
  </r>
  <r>
    <n v="307839164"/>
    <x v="2"/>
    <x v="0"/>
    <x v="5"/>
    <n v="60.01"/>
    <n v="4"/>
    <n v="240.04"/>
    <x v="39"/>
    <x v="485"/>
    <x v="2"/>
    <n v="4.5"/>
    <s v="PARTICIPA"/>
  </r>
  <r>
    <n v="710464433"/>
    <x v="1"/>
    <x v="0"/>
    <x v="4"/>
    <n v="77.400000000000006"/>
    <n v="9"/>
    <n v="696.6"/>
    <x v="0"/>
    <x v="432"/>
    <x v="0"/>
    <n v="4.5"/>
    <s v="PARTICIPA"/>
  </r>
  <r>
    <n v="639761242"/>
    <x v="0"/>
    <x v="1"/>
    <x v="4"/>
    <n v="40.520000000000003"/>
    <n v="5"/>
    <n v="202.60000000000002"/>
    <x v="1"/>
    <x v="257"/>
    <x v="2"/>
    <n v="4.5"/>
    <s v="NO PARTICIPA"/>
  </r>
  <r>
    <n v="554533790"/>
    <x v="1"/>
    <x v="1"/>
    <x v="0"/>
    <n v="37.020000000000003"/>
    <n v="6"/>
    <n v="222.12"/>
    <x v="66"/>
    <x v="379"/>
    <x v="2"/>
    <n v="4.5"/>
    <s v="NO PARTICIPA"/>
  </r>
  <r>
    <n v="283265248"/>
    <x v="0"/>
    <x v="0"/>
    <x v="4"/>
    <n v="98.52"/>
    <n v="10"/>
    <n v="985.19999999999993"/>
    <x v="60"/>
    <x v="440"/>
    <x v="1"/>
    <n v="4.5"/>
    <s v="PARTICIPA"/>
  </r>
  <r>
    <n v="881417302"/>
    <x v="1"/>
    <x v="1"/>
    <x v="3"/>
    <n v="64.989999999999995"/>
    <n v="1"/>
    <n v="64.989999999999995"/>
    <x v="37"/>
    <x v="486"/>
    <x v="0"/>
    <n v="4.5"/>
    <s v="NO PARTICIPA"/>
  </r>
  <r>
    <n v="484228230"/>
    <x v="1"/>
    <x v="0"/>
    <x v="3"/>
    <n v="51.89"/>
    <n v="7"/>
    <n v="363.23"/>
    <x v="72"/>
    <x v="466"/>
    <x v="2"/>
    <n v="4.5"/>
    <s v="PARTICIPA"/>
  </r>
  <r>
    <n v="857163520"/>
    <x v="2"/>
    <x v="0"/>
    <x v="3"/>
    <n v="71.459999999999994"/>
    <n v="7"/>
    <n v="500.21999999999997"/>
    <x v="8"/>
    <x v="275"/>
    <x v="1"/>
    <n v="4.5"/>
    <s v="PARTICIPA"/>
  </r>
  <r>
    <n v="406467107"/>
    <x v="2"/>
    <x v="1"/>
    <x v="5"/>
    <n v="96.52"/>
    <n v="6"/>
    <n v="579.12"/>
    <x v="56"/>
    <x v="16"/>
    <x v="2"/>
    <n v="4.5"/>
    <s v="NO PARTICIPA"/>
  </r>
  <r>
    <n v="707327409"/>
    <x v="0"/>
    <x v="0"/>
    <x v="0"/>
    <n v="95.54"/>
    <n v="4"/>
    <n v="382.16"/>
    <x v="90"/>
    <x v="4"/>
    <x v="1"/>
    <n v="4.5"/>
    <s v="PARTICIPA"/>
  </r>
  <r>
    <n v="109864363"/>
    <x v="0"/>
    <x v="0"/>
    <x v="0"/>
    <n v="60.08"/>
    <n v="7"/>
    <n v="420.56"/>
    <x v="67"/>
    <x v="152"/>
    <x v="0"/>
    <n v="4.5"/>
    <s v="PARTICIPA"/>
  </r>
  <r>
    <n v="448613783"/>
    <x v="2"/>
    <x v="1"/>
    <x v="2"/>
    <n v="90.02"/>
    <n v="8"/>
    <n v="720.16"/>
    <x v="23"/>
    <x v="146"/>
    <x v="0"/>
    <n v="4.5"/>
    <s v="NO PARTICIPA"/>
  </r>
  <r>
    <n v="886182897"/>
    <x v="2"/>
    <x v="1"/>
    <x v="4"/>
    <n v="56.56"/>
    <n v="5"/>
    <n v="282.8"/>
    <x v="66"/>
    <x v="155"/>
    <x v="0"/>
    <n v="4.5"/>
    <s v="NO PARTICIPA"/>
  </r>
  <r>
    <n v="319503348"/>
    <x v="1"/>
    <x v="1"/>
    <x v="5"/>
    <n v="40.299999999999997"/>
    <n v="2"/>
    <n v="80.599999999999994"/>
    <x v="64"/>
    <x v="124"/>
    <x v="1"/>
    <n v="4.4000000000000004"/>
    <s v="NO PARTICIPA"/>
  </r>
  <r>
    <n v="273166619"/>
    <x v="1"/>
    <x v="1"/>
    <x v="5"/>
    <n v="33.200000000000003"/>
    <n v="2"/>
    <n v="66.400000000000006"/>
    <x v="28"/>
    <x v="271"/>
    <x v="0"/>
    <n v="4.4000000000000004"/>
    <s v="NO PARTICIPA"/>
  </r>
  <r>
    <n v="407638975"/>
    <x v="2"/>
    <x v="1"/>
    <x v="4"/>
    <n v="73.88"/>
    <n v="6"/>
    <n v="443.28"/>
    <x v="53"/>
    <x v="400"/>
    <x v="1"/>
    <n v="4.4000000000000004"/>
    <s v="NO PARTICIPA"/>
  </r>
  <r>
    <n v="656161063"/>
    <x v="1"/>
    <x v="1"/>
    <x v="0"/>
    <n v="46.42"/>
    <n v="3"/>
    <n v="139.26"/>
    <x v="33"/>
    <x v="287"/>
    <x v="0"/>
    <n v="4.4000000000000004"/>
    <s v="NO PARTICIPA"/>
  </r>
  <r>
    <n v="144516085"/>
    <x v="2"/>
    <x v="0"/>
    <x v="5"/>
    <n v="70.739999999999995"/>
    <n v="4"/>
    <n v="282.95999999999998"/>
    <x v="45"/>
    <x v="487"/>
    <x v="0"/>
    <n v="4.4000000000000004"/>
    <s v="PARTICIPA"/>
  </r>
  <r>
    <n v="735064124"/>
    <x v="0"/>
    <x v="1"/>
    <x v="4"/>
    <n v="48.61"/>
    <n v="1"/>
    <n v="48.61"/>
    <x v="4"/>
    <x v="136"/>
    <x v="2"/>
    <n v="4.4000000000000004"/>
    <s v="NO PARTICIPA"/>
  </r>
  <r>
    <n v="870761733"/>
    <x v="2"/>
    <x v="0"/>
    <x v="4"/>
    <n v="14.23"/>
    <n v="5"/>
    <n v="71.150000000000006"/>
    <x v="50"/>
    <x v="488"/>
    <x v="0"/>
    <n v="4.4000000000000004"/>
    <s v="PARTICIPA"/>
  </r>
  <r>
    <n v="227074446"/>
    <x v="0"/>
    <x v="0"/>
    <x v="2"/>
    <n v="78.13"/>
    <n v="10"/>
    <n v="781.3"/>
    <x v="11"/>
    <x v="297"/>
    <x v="2"/>
    <n v="4.4000000000000004"/>
    <s v="PARTICIPA"/>
  </r>
  <r>
    <n v="598479715"/>
    <x v="0"/>
    <x v="1"/>
    <x v="2"/>
    <n v="84.07"/>
    <n v="4"/>
    <n v="336.28"/>
    <x v="32"/>
    <x v="239"/>
    <x v="1"/>
    <n v="4.4000000000000004"/>
    <s v="NO PARTICIPA"/>
  </r>
  <r>
    <n v="866997614"/>
    <x v="0"/>
    <x v="1"/>
    <x v="4"/>
    <n v="89.2"/>
    <n v="10"/>
    <n v="892"/>
    <x v="89"/>
    <x v="358"/>
    <x v="0"/>
    <n v="4.4000000000000004"/>
    <s v="NO PARTICIPA"/>
  </r>
  <r>
    <n v="227503718"/>
    <x v="2"/>
    <x v="1"/>
    <x v="1"/>
    <n v="14.62"/>
    <n v="5"/>
    <n v="73.099999999999994"/>
    <x v="87"/>
    <x v="64"/>
    <x v="2"/>
    <n v="4.4000000000000004"/>
    <s v="NO PARTICIPA"/>
  </r>
  <r>
    <n v="840192096"/>
    <x v="1"/>
    <x v="0"/>
    <x v="2"/>
    <n v="87.91"/>
    <n v="5"/>
    <n v="439.54999999999995"/>
    <x v="62"/>
    <x v="427"/>
    <x v="1"/>
    <n v="4.4000000000000004"/>
    <s v="PARTICIPA"/>
  </r>
  <r>
    <n v="852627105"/>
    <x v="0"/>
    <x v="1"/>
    <x v="3"/>
    <n v="83.25"/>
    <n v="10"/>
    <n v="832.5"/>
    <x v="76"/>
    <x v="489"/>
    <x v="0"/>
    <n v="4.4000000000000004"/>
    <s v="NO PARTICIPA"/>
  </r>
  <r>
    <n v="408666712"/>
    <x v="1"/>
    <x v="0"/>
    <x v="1"/>
    <n v="47.71"/>
    <n v="6"/>
    <n v="286.26"/>
    <x v="55"/>
    <x v="303"/>
    <x v="1"/>
    <n v="4.4000000000000004"/>
    <s v="PARTICIPA"/>
  </r>
  <r>
    <n v="588478641"/>
    <x v="2"/>
    <x v="0"/>
    <x v="3"/>
    <n v="56.04"/>
    <n v="10"/>
    <n v="560.4"/>
    <x v="14"/>
    <x v="214"/>
    <x v="1"/>
    <n v="4.4000000000000004"/>
    <s v="PARTICIPA"/>
  </r>
  <r>
    <n v="247112470"/>
    <x v="2"/>
    <x v="0"/>
    <x v="3"/>
    <n v="22.32"/>
    <n v="4"/>
    <n v="89.28"/>
    <x v="29"/>
    <x v="160"/>
    <x v="0"/>
    <n v="4.4000000000000004"/>
    <s v="PARTICIPA"/>
  </r>
  <r>
    <n v="303962227"/>
    <x v="0"/>
    <x v="1"/>
    <x v="5"/>
    <n v="97.38"/>
    <n v="10"/>
    <n v="973.8"/>
    <x v="1"/>
    <x v="292"/>
    <x v="1"/>
    <n v="4.4000000000000004"/>
    <s v="NO PARTICIPA"/>
  </r>
  <r>
    <n v="382034532"/>
    <x v="2"/>
    <x v="0"/>
    <x v="1"/>
    <n v="18.329999999999998"/>
    <n v="1"/>
    <n v="18.329999999999998"/>
    <x v="13"/>
    <x v="291"/>
    <x v="2"/>
    <n v="4.3"/>
    <s v="NO PARTICIPA"/>
  </r>
  <r>
    <n v="645441170"/>
    <x v="2"/>
    <x v="0"/>
    <x v="5"/>
    <n v="58.07"/>
    <n v="9"/>
    <n v="522.63"/>
    <x v="21"/>
    <x v="459"/>
    <x v="1"/>
    <n v="4.3"/>
    <s v="PARTICIPA"/>
  </r>
  <r>
    <n v="346843103"/>
    <x v="1"/>
    <x v="0"/>
    <x v="2"/>
    <n v="13.22"/>
    <n v="5"/>
    <n v="66.100000000000009"/>
    <x v="1"/>
    <x v="332"/>
    <x v="2"/>
    <n v="4.3"/>
    <s v="PARTICIPA"/>
  </r>
  <r>
    <n v="411770180"/>
    <x v="2"/>
    <x v="0"/>
    <x v="2"/>
    <n v="72.2"/>
    <n v="7"/>
    <n v="505.40000000000003"/>
    <x v="47"/>
    <x v="490"/>
    <x v="1"/>
    <n v="4.3"/>
    <s v="PARTICIPA"/>
  </r>
  <r>
    <n v="726272396"/>
    <x v="2"/>
    <x v="1"/>
    <x v="1"/>
    <n v="77.5"/>
    <n v="5"/>
    <n v="387.5"/>
    <x v="77"/>
    <x v="100"/>
    <x v="1"/>
    <n v="4.3"/>
    <s v="NO PARTICIPA"/>
  </r>
  <r>
    <n v="394303170"/>
    <x v="1"/>
    <x v="0"/>
    <x v="0"/>
    <n v="88.43"/>
    <n v="8"/>
    <n v="707.44"/>
    <x v="66"/>
    <x v="232"/>
    <x v="0"/>
    <n v="4.3"/>
    <s v="PARTICIPA"/>
  </r>
  <r>
    <n v="556728512"/>
    <x v="0"/>
    <x v="1"/>
    <x v="5"/>
    <n v="22.96"/>
    <n v="1"/>
    <n v="22.96"/>
    <x v="60"/>
    <x v="491"/>
    <x v="2"/>
    <n v="4.3"/>
    <s v="NO PARTICIPA"/>
  </r>
  <r>
    <n v="600389738"/>
    <x v="0"/>
    <x v="0"/>
    <x v="0"/>
    <n v="71.92"/>
    <n v="5"/>
    <n v="359.6"/>
    <x v="40"/>
    <x v="223"/>
    <x v="0"/>
    <n v="4.3"/>
    <s v="PARTICIPA"/>
  </r>
  <r>
    <n v="302152162"/>
    <x v="0"/>
    <x v="0"/>
    <x v="1"/>
    <n v="46.53"/>
    <n v="6"/>
    <n v="279.18"/>
    <x v="43"/>
    <x v="108"/>
    <x v="0"/>
    <n v="4.3"/>
    <s v="PARTICIPA"/>
  </r>
  <r>
    <n v="648831321"/>
    <x v="2"/>
    <x v="0"/>
    <x v="5"/>
    <n v="63.56"/>
    <n v="10"/>
    <n v="635.6"/>
    <x v="71"/>
    <x v="241"/>
    <x v="2"/>
    <n v="4.3"/>
    <s v="PARTICIPA"/>
  </r>
  <r>
    <n v="826588051"/>
    <x v="0"/>
    <x v="1"/>
    <x v="5"/>
    <n v="62.19"/>
    <n v="4"/>
    <n v="248.76"/>
    <x v="15"/>
    <x v="252"/>
    <x v="1"/>
    <n v="4.3"/>
    <s v="NO PARTICIPA"/>
  </r>
  <r>
    <n v="176647711"/>
    <x v="0"/>
    <x v="1"/>
    <x v="4"/>
    <n v="32.32"/>
    <n v="3"/>
    <n v="96.960000000000008"/>
    <x v="2"/>
    <x v="460"/>
    <x v="0"/>
    <n v="4.3"/>
    <s v="NO PARTICIPA"/>
  </r>
  <r>
    <n v="605831050"/>
    <x v="0"/>
    <x v="1"/>
    <x v="3"/>
    <n v="27.18"/>
    <n v="2"/>
    <n v="54.36"/>
    <x v="28"/>
    <x v="492"/>
    <x v="1"/>
    <n v="4.3"/>
    <s v="NO PARTICIPA"/>
  </r>
  <r>
    <n v="416179926"/>
    <x v="2"/>
    <x v="0"/>
    <x v="2"/>
    <n v="74.22"/>
    <n v="10"/>
    <n v="742.2"/>
    <x v="74"/>
    <x v="127"/>
    <x v="0"/>
    <n v="4.3"/>
    <s v="PARTICIPA"/>
  </r>
  <r>
    <n v="152034217"/>
    <x v="0"/>
    <x v="1"/>
    <x v="5"/>
    <n v="11.28"/>
    <n v="9"/>
    <n v="101.52"/>
    <x v="88"/>
    <x v="348"/>
    <x v="0"/>
    <n v="4.3"/>
    <s v="NO PARTICIPA"/>
  </r>
  <r>
    <n v="631341880"/>
    <x v="1"/>
    <x v="0"/>
    <x v="4"/>
    <n v="24.31"/>
    <n v="3"/>
    <n v="72.929999999999993"/>
    <x v="72"/>
    <x v="143"/>
    <x v="0"/>
    <n v="4.3"/>
    <s v="PARTICIPA"/>
  </r>
  <r>
    <n v="764448999"/>
    <x v="0"/>
    <x v="1"/>
    <x v="1"/>
    <n v="14.76"/>
    <n v="2"/>
    <n v="29.52"/>
    <x v="20"/>
    <x v="127"/>
    <x v="1"/>
    <n v="4.3"/>
    <s v="NO PARTICIPA"/>
  </r>
  <r>
    <n v="267627380"/>
    <x v="1"/>
    <x v="0"/>
    <x v="2"/>
    <n v="82.34"/>
    <n v="10"/>
    <n v="823.40000000000009"/>
    <x v="24"/>
    <x v="493"/>
    <x v="1"/>
    <n v="4.3"/>
    <s v="PARTICIPA"/>
  </r>
  <r>
    <n v="588017461"/>
    <x v="0"/>
    <x v="1"/>
    <x v="4"/>
    <n v="33.979999999999997"/>
    <n v="9"/>
    <n v="305.82"/>
    <x v="48"/>
    <x v="47"/>
    <x v="2"/>
    <n v="4.2"/>
    <s v="NO PARTICIPA"/>
  </r>
  <r>
    <n v="219229386"/>
    <x v="1"/>
    <x v="0"/>
    <x v="0"/>
    <n v="99.96"/>
    <n v="9"/>
    <n v="899.64"/>
    <x v="25"/>
    <x v="19"/>
    <x v="0"/>
    <n v="4.2"/>
    <s v="PARTICIPA"/>
  </r>
  <r>
    <n v="217581179"/>
    <x v="2"/>
    <x v="0"/>
    <x v="5"/>
    <n v="62.65"/>
    <n v="4"/>
    <n v="250.6"/>
    <x v="45"/>
    <x v="489"/>
    <x v="2"/>
    <n v="4.2"/>
    <s v="PARTICIPA"/>
  </r>
  <r>
    <n v="785137708"/>
    <x v="1"/>
    <x v="1"/>
    <x v="4"/>
    <n v="73.06"/>
    <n v="7"/>
    <n v="511.42"/>
    <x v="14"/>
    <x v="155"/>
    <x v="0"/>
    <n v="4.2"/>
    <s v="NO PARTICIPA"/>
  </r>
  <r>
    <n v="447157839"/>
    <x v="2"/>
    <x v="0"/>
    <x v="0"/>
    <n v="22.24"/>
    <n v="10"/>
    <n v="222.39999999999998"/>
    <x v="93"/>
    <x v="137"/>
    <x v="2"/>
    <n v="4.2"/>
    <s v="PARTICIPA"/>
  </r>
  <r>
    <n v="430603493"/>
    <x v="2"/>
    <x v="0"/>
    <x v="5"/>
    <n v="94.88"/>
    <n v="7"/>
    <n v="664.16"/>
    <x v="1"/>
    <x v="389"/>
    <x v="2"/>
    <n v="4.2"/>
    <s v="PARTICIPA"/>
  </r>
  <r>
    <n v="462785240"/>
    <x v="0"/>
    <x v="1"/>
    <x v="2"/>
    <n v="26.61"/>
    <n v="2"/>
    <n v="53.22"/>
    <x v="12"/>
    <x v="289"/>
    <x v="2"/>
    <n v="4.2"/>
    <s v="NO PARTICIPA"/>
  </r>
  <r>
    <n v="153584872"/>
    <x v="0"/>
    <x v="0"/>
    <x v="4"/>
    <n v="74.89"/>
    <n v="4"/>
    <n v="299.56"/>
    <x v="29"/>
    <x v="494"/>
    <x v="1"/>
    <n v="4.2"/>
    <s v="PARTICIPA"/>
  </r>
  <r>
    <n v="485308700"/>
    <x v="2"/>
    <x v="1"/>
    <x v="0"/>
    <n v="33.26"/>
    <n v="5"/>
    <n v="166.29999999999998"/>
    <x v="30"/>
    <x v="290"/>
    <x v="0"/>
    <n v="4.2"/>
    <s v="NO PARTICIPA"/>
  </r>
  <r>
    <n v="539217227"/>
    <x v="1"/>
    <x v="1"/>
    <x v="0"/>
    <n v="51.54"/>
    <n v="5"/>
    <n v="257.7"/>
    <x v="37"/>
    <x v="495"/>
    <x v="2"/>
    <n v="4.2"/>
    <s v="NO PARTICIPA"/>
  </r>
  <r>
    <n v="443590061"/>
    <x v="2"/>
    <x v="0"/>
    <x v="4"/>
    <n v="67.45"/>
    <n v="10"/>
    <n v="674.5"/>
    <x v="1"/>
    <x v="489"/>
    <x v="1"/>
    <n v="4.2"/>
    <s v="PARTICIPA"/>
  </r>
  <r>
    <n v="509293912"/>
    <x v="2"/>
    <x v="0"/>
    <x v="0"/>
    <n v="38.72"/>
    <n v="9"/>
    <n v="348.48"/>
    <x v="26"/>
    <x v="496"/>
    <x v="1"/>
    <n v="4.2"/>
    <s v="PARTICIPA"/>
  </r>
  <r>
    <n v="525098450"/>
    <x v="0"/>
    <x v="1"/>
    <x v="2"/>
    <n v="72.13"/>
    <n v="10"/>
    <n v="721.3"/>
    <x v="35"/>
    <x v="134"/>
    <x v="0"/>
    <n v="4.2"/>
    <s v="NO PARTICIPA"/>
  </r>
  <r>
    <n v="102772261"/>
    <x v="1"/>
    <x v="0"/>
    <x v="1"/>
    <n v="65.31"/>
    <n v="7"/>
    <n v="457.17"/>
    <x v="58"/>
    <x v="87"/>
    <x v="0"/>
    <n v="4.2"/>
    <s v="PARTICIPA"/>
  </r>
  <r>
    <n v="220686701"/>
    <x v="2"/>
    <x v="1"/>
    <x v="5"/>
    <n v="77.47"/>
    <n v="4"/>
    <n v="309.88"/>
    <x v="88"/>
    <x v="78"/>
    <x v="2"/>
    <n v="4.2"/>
    <s v="NO PARTICIPA"/>
  </r>
  <r>
    <n v="125452293"/>
    <x v="2"/>
    <x v="1"/>
    <x v="3"/>
    <n v="99.1"/>
    <n v="6"/>
    <n v="594.59999999999991"/>
    <x v="21"/>
    <x v="497"/>
    <x v="2"/>
    <n v="4.2"/>
    <s v="NO PARTICIPA"/>
  </r>
  <r>
    <n v="895036665"/>
    <x v="0"/>
    <x v="1"/>
    <x v="3"/>
    <n v="36.51"/>
    <n v="9"/>
    <n v="328.59"/>
    <x v="55"/>
    <x v="458"/>
    <x v="2"/>
    <n v="4.2"/>
    <s v="NO PARTICIPA"/>
  </r>
  <r>
    <n v="699881972"/>
    <x v="0"/>
    <x v="1"/>
    <x v="1"/>
    <n v="99.16"/>
    <n v="8"/>
    <n v="793.28"/>
    <x v="10"/>
    <x v="0"/>
    <x v="0"/>
    <n v="4.2"/>
    <s v="NO PARTICIPA"/>
  </r>
  <r>
    <n v="595949924"/>
    <x v="2"/>
    <x v="0"/>
    <x v="1"/>
    <n v="27.73"/>
    <n v="5"/>
    <n v="138.65"/>
    <x v="47"/>
    <x v="126"/>
    <x v="0"/>
    <n v="4.2"/>
    <s v="PARTICIPA"/>
  </r>
  <r>
    <n v="624018356"/>
    <x v="0"/>
    <x v="1"/>
    <x v="5"/>
    <n v="49.01"/>
    <n v="10"/>
    <n v="490.09999999999997"/>
    <x v="41"/>
    <x v="498"/>
    <x v="0"/>
    <n v="4.2"/>
    <s v="NO PARTICIPA"/>
  </r>
  <r>
    <n v="131708179"/>
    <x v="2"/>
    <x v="0"/>
    <x v="1"/>
    <n v="92.09"/>
    <n v="3"/>
    <n v="276.27"/>
    <x v="5"/>
    <x v="499"/>
    <x v="2"/>
    <n v="4.2"/>
    <s v="PARTICIPA"/>
  </r>
  <r>
    <n v="333232632"/>
    <x v="2"/>
    <x v="0"/>
    <x v="1"/>
    <n v="10.08"/>
    <n v="7"/>
    <n v="70.56"/>
    <x v="8"/>
    <x v="490"/>
    <x v="2"/>
    <n v="4.2"/>
    <s v="PARTICIPA"/>
  </r>
  <r>
    <n v="699143026"/>
    <x v="0"/>
    <x v="1"/>
    <x v="2"/>
    <n v="85.39"/>
    <n v="7"/>
    <n v="597.73"/>
    <x v="7"/>
    <x v="311"/>
    <x v="1"/>
    <n v="4.0999999999999996"/>
    <s v="NO PARTICIPA"/>
  </r>
  <r>
    <n v="727463608"/>
    <x v="1"/>
    <x v="0"/>
    <x v="4"/>
    <n v="20.010000000000002"/>
    <n v="9"/>
    <n v="180.09"/>
    <x v="54"/>
    <x v="62"/>
    <x v="1"/>
    <n v="4.0999999999999996"/>
    <s v="PARTICIPA"/>
  </r>
  <r>
    <n v="871399221"/>
    <x v="0"/>
    <x v="1"/>
    <x v="2"/>
    <n v="12.45"/>
    <n v="6"/>
    <n v="74.699999999999989"/>
    <x v="93"/>
    <x v="497"/>
    <x v="2"/>
    <n v="4.0999999999999996"/>
    <s v="NO PARTICIPA"/>
  </r>
  <r>
    <n v="163567055"/>
    <x v="0"/>
    <x v="0"/>
    <x v="3"/>
    <n v="48.71"/>
    <n v="1"/>
    <n v="48.71"/>
    <x v="47"/>
    <x v="200"/>
    <x v="2"/>
    <n v="4.0999999999999996"/>
    <s v="PARTICIPA"/>
  </r>
  <r>
    <n v="378242715"/>
    <x v="1"/>
    <x v="1"/>
    <x v="5"/>
    <n v="53.44"/>
    <n v="2"/>
    <n v="106.88"/>
    <x v="18"/>
    <x v="326"/>
    <x v="1"/>
    <n v="4.0999999999999996"/>
    <s v="NO PARTICIPA"/>
  </r>
  <r>
    <n v="645788093"/>
    <x v="2"/>
    <x v="1"/>
    <x v="0"/>
    <n v="93.14"/>
    <n v="2"/>
    <n v="186.28"/>
    <x v="18"/>
    <x v="365"/>
    <x v="1"/>
    <n v="4.0999999999999996"/>
    <s v="NO PARTICIPA"/>
  </r>
  <r>
    <n v="803178013"/>
    <x v="2"/>
    <x v="0"/>
    <x v="5"/>
    <n v="88.79"/>
    <n v="8"/>
    <n v="710.32"/>
    <x v="5"/>
    <x v="500"/>
    <x v="2"/>
    <n v="4.0999999999999996"/>
    <s v="PARTICIPA"/>
  </r>
  <r>
    <n v="725329708"/>
    <x v="1"/>
    <x v="0"/>
    <x v="3"/>
    <n v="68.709999999999994"/>
    <n v="4"/>
    <n v="274.83999999999997"/>
    <x v="33"/>
    <x v="234"/>
    <x v="2"/>
    <n v="4.0999999999999996"/>
    <s v="PARTICIPA"/>
  </r>
  <r>
    <n v="408269866"/>
    <x v="0"/>
    <x v="1"/>
    <x v="0"/>
    <n v="73.98"/>
    <n v="7"/>
    <n v="517.86"/>
    <x v="1"/>
    <x v="464"/>
    <x v="1"/>
    <n v="4.0999999999999996"/>
    <s v="NO PARTICIPA"/>
  </r>
  <r>
    <n v="679226530"/>
    <x v="0"/>
    <x v="1"/>
    <x v="0"/>
    <n v="40.619999999999997"/>
    <n v="2"/>
    <n v="81.239999999999995"/>
    <x v="40"/>
    <x v="355"/>
    <x v="0"/>
    <n v="4.0999999999999996"/>
    <s v="NO PARTICIPA"/>
  </r>
  <r>
    <n v="210307976"/>
    <x v="0"/>
    <x v="0"/>
    <x v="3"/>
    <n v="22.32"/>
    <n v="4"/>
    <n v="89.28"/>
    <x v="62"/>
    <x v="501"/>
    <x v="1"/>
    <n v="4.0999999999999996"/>
    <s v="PARTICIPA"/>
  </r>
  <r>
    <n v="307042070"/>
    <x v="2"/>
    <x v="0"/>
    <x v="3"/>
    <n v="30.62"/>
    <n v="1"/>
    <n v="30.62"/>
    <x v="31"/>
    <x v="451"/>
    <x v="0"/>
    <n v="4.0999999999999996"/>
    <s v="PARTICIPA"/>
  </r>
  <r>
    <n v="516776464"/>
    <x v="1"/>
    <x v="0"/>
    <x v="1"/>
    <n v="10.16"/>
    <n v="5"/>
    <n v="50.8"/>
    <x v="79"/>
    <x v="130"/>
    <x v="1"/>
    <n v="4.0999999999999996"/>
    <s v="PARTICIPA"/>
  </r>
  <r>
    <n v="186438965"/>
    <x v="2"/>
    <x v="0"/>
    <x v="5"/>
    <n v="47.68"/>
    <n v="2"/>
    <n v="95.36"/>
    <x v="79"/>
    <x v="502"/>
    <x v="0"/>
    <n v="4.0999999999999996"/>
    <s v="PARTICIPA"/>
  </r>
  <r>
    <n v="343759322"/>
    <x v="0"/>
    <x v="0"/>
    <x v="0"/>
    <n v="11.85"/>
    <n v="8"/>
    <n v="94.8"/>
    <x v="91"/>
    <x v="453"/>
    <x v="2"/>
    <n v="4.0999999999999996"/>
    <s v="PARTICIPA"/>
  </r>
  <r>
    <n v="717964189"/>
    <x v="1"/>
    <x v="1"/>
    <x v="2"/>
    <n v="35.49"/>
    <n v="6"/>
    <n v="212.94"/>
    <x v="13"/>
    <x v="113"/>
    <x v="2"/>
    <n v="4.0999999999999996"/>
    <s v="NO PARTICIPA"/>
  </r>
  <r>
    <n v="347562442"/>
    <x v="2"/>
    <x v="1"/>
    <x v="5"/>
    <n v="65.819999999999993"/>
    <n v="1"/>
    <n v="65.819999999999993"/>
    <x v="46"/>
    <x v="359"/>
    <x v="2"/>
    <n v="4.0999999999999996"/>
    <s v="NO PARTICIPA"/>
  </r>
  <r>
    <n v="510956347"/>
    <x v="1"/>
    <x v="0"/>
    <x v="4"/>
    <n v="48.52"/>
    <n v="3"/>
    <n v="145.56"/>
    <x v="58"/>
    <x v="183"/>
    <x v="1"/>
    <n v="4"/>
    <s v="PARTICIPA"/>
  </r>
  <r>
    <n v="730509884"/>
    <x v="0"/>
    <x v="1"/>
    <x v="0"/>
    <n v="83.06"/>
    <n v="7"/>
    <n v="581.42000000000007"/>
    <x v="58"/>
    <x v="503"/>
    <x v="1"/>
    <n v="4"/>
    <s v="NO PARTICIPA"/>
  </r>
  <r>
    <n v="836825858"/>
    <x v="1"/>
    <x v="0"/>
    <x v="1"/>
    <n v="69.37"/>
    <n v="9"/>
    <n v="624.33000000000004"/>
    <x v="37"/>
    <x v="399"/>
    <x v="1"/>
    <n v="4"/>
    <s v="PARTICIPA"/>
  </r>
  <r>
    <n v="730618757"/>
    <x v="1"/>
    <x v="0"/>
    <x v="1"/>
    <n v="51.13"/>
    <n v="4"/>
    <n v="204.52"/>
    <x v="39"/>
    <x v="261"/>
    <x v="0"/>
    <n v="4"/>
    <s v="PARTICIPA"/>
  </r>
  <r>
    <n v="182698360"/>
    <x v="1"/>
    <x v="1"/>
    <x v="2"/>
    <n v="23.65"/>
    <n v="4"/>
    <n v="94.6"/>
    <x v="60"/>
    <x v="476"/>
    <x v="0"/>
    <n v="4"/>
    <s v="NO PARTICIPA"/>
  </r>
  <r>
    <n v="828466863"/>
    <x v="2"/>
    <x v="0"/>
    <x v="4"/>
    <n v="98.53"/>
    <n v="6"/>
    <n v="591.18000000000006"/>
    <x v="23"/>
    <x v="333"/>
    <x v="0"/>
    <n v="4"/>
    <s v="PARTICIPA"/>
  </r>
  <r>
    <n v="131158856"/>
    <x v="1"/>
    <x v="0"/>
    <x v="4"/>
    <n v="72.52"/>
    <n v="8"/>
    <n v="580.16"/>
    <x v="44"/>
    <x v="332"/>
    <x v="0"/>
    <n v="4"/>
    <s v="PARTICIPA"/>
  </r>
  <r>
    <n v="576314774"/>
    <x v="0"/>
    <x v="1"/>
    <x v="1"/>
    <n v="73.41"/>
    <n v="3"/>
    <n v="220.23"/>
    <x v="1"/>
    <x v="504"/>
    <x v="1"/>
    <n v="4"/>
    <s v="NO PARTICIPA"/>
  </r>
  <r>
    <n v="651965970"/>
    <x v="2"/>
    <x v="1"/>
    <x v="3"/>
    <n v="46.41"/>
    <n v="1"/>
    <n v="46.41"/>
    <x v="43"/>
    <x v="505"/>
    <x v="0"/>
    <n v="4"/>
    <s v="NO PARTICIPA"/>
  </r>
  <r>
    <n v="845946841"/>
    <x v="1"/>
    <x v="0"/>
    <x v="4"/>
    <n v="72.88"/>
    <n v="9"/>
    <n v="655.92"/>
    <x v="72"/>
    <x v="79"/>
    <x v="2"/>
    <n v="4"/>
    <s v="PARTICIPA"/>
  </r>
  <r>
    <n v="885560389"/>
    <x v="1"/>
    <x v="0"/>
    <x v="3"/>
    <n v="52.35"/>
    <n v="1"/>
    <n v="52.35"/>
    <x v="17"/>
    <x v="164"/>
    <x v="2"/>
    <n v="4"/>
    <s v="PARTICIP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C70574-55CB-1D4D-BA91-C1521C684F38}" name="TablaDinámica5"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rowHeaderCaption="Sucursales">
  <location ref="G61:H80" firstHeaderRow="1" firstDataRow="1" firstDataCol="1"/>
  <pivotFields count="12">
    <pivotField numFmtId="1" showAll="0"/>
    <pivotField axis="axisRow" showAll="0" sortType="ascending">
      <items count="4">
        <item x="2"/>
        <item x="1"/>
        <item x="0"/>
        <item t="default"/>
      </items>
    </pivotField>
    <pivotField showAll="0"/>
    <pivotField axis="axisRow" showAll="0" measureFilter="1" sortType="descending">
      <items count="7">
        <item x="2"/>
        <item x="3"/>
        <item x="4"/>
        <item x="1"/>
        <item x="5"/>
        <item x="0"/>
        <item t="default"/>
      </items>
      <autoSortScope>
        <pivotArea dataOnly="0" outline="0" fieldPosition="0">
          <references count="1">
            <reference field="4294967294" count="1" selected="0">
              <x v="0"/>
            </reference>
          </references>
        </pivotArea>
      </autoSortScope>
    </pivotField>
    <pivotField dataField="1" numFmtId="165" showAll="0"/>
    <pivotField numFmtId="1" showAll="0"/>
    <pivotField numFmtId="165" showAll="0"/>
    <pivotField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2">
    <field x="1"/>
    <field x="3"/>
  </rowFields>
  <rowItems count="19">
    <i>
      <x/>
    </i>
    <i r="1">
      <x v="4"/>
    </i>
    <i r="1">
      <x/>
    </i>
    <i r="1">
      <x v="5"/>
    </i>
    <i r="1">
      <x v="2"/>
    </i>
    <i r="1">
      <x v="1"/>
    </i>
    <i>
      <x v="1"/>
    </i>
    <i r="1">
      <x v="1"/>
    </i>
    <i r="1">
      <x v="5"/>
    </i>
    <i r="1">
      <x v="3"/>
    </i>
    <i r="1">
      <x v="2"/>
    </i>
    <i r="1">
      <x/>
    </i>
    <i>
      <x v="2"/>
    </i>
    <i r="1">
      <x v="2"/>
    </i>
    <i r="1">
      <x v="1"/>
    </i>
    <i r="1">
      <x/>
    </i>
    <i r="1">
      <x v="4"/>
    </i>
    <i r="1">
      <x v="5"/>
    </i>
    <i t="grand">
      <x/>
    </i>
  </rowItems>
  <colItems count="1">
    <i/>
  </colItems>
  <dataFields count="1">
    <dataField name="Precios Unitarios " fld="4" baseField="0" baseItem="0" numFmtId="173"/>
  </dataFields>
  <formats count="4">
    <format dxfId="3">
      <pivotArea collapsedLevelsAreSubtotals="1" fieldPosition="0">
        <references count="2">
          <reference field="1" count="1" selected="0">
            <x v="0"/>
          </reference>
          <reference field="3" count="1">
            <x v="0"/>
          </reference>
        </references>
      </pivotArea>
    </format>
    <format dxfId="2">
      <pivotArea dataOnly="0" outline="0" axis="axisValues" fieldPosition="0"/>
    </format>
    <format dxfId="1">
      <pivotArea dataOnly="0" labelOnly="1" outline="0" axis="axisValues" fieldPosition="0"/>
    </format>
    <format dxfId="0">
      <pivotArea outline="0" collapsedLevelsAreSubtotals="1" fieldPosition="0"/>
    </format>
  </formats>
  <conditionalFormats count="1">
    <conditionalFormat priority="4">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filters count="1">
    <filter fld="3"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AB340D-371D-3244-9C4A-8530549EE684}" name="inámica8mes en ventas y cantidades_" cacheId="0" dataPosition="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3" rowHeaderCaption="Meses">
  <location ref="G120:I132" firstHeaderRow="0" firstDataRow="1" firstDataCol="1"/>
  <pivotFields count="12">
    <pivotField numFmtId="1" showAll="0"/>
    <pivotField showAll="0">
      <items count="4">
        <item x="2"/>
        <item x="1"/>
        <item x="0"/>
        <item t="default"/>
      </items>
    </pivotField>
    <pivotField showAll="0"/>
    <pivotField showAll="0"/>
    <pivotField numFmtId="165" showAll="0"/>
    <pivotField dataField="1" numFmtId="1" showAll="0"/>
    <pivotField dataField="1" numFmtId="165" showAll="0"/>
    <pivotField axis="axisRow"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1">
    <field x="7"/>
  </rowFields>
  <rowItems count="12">
    <i>
      <x v="1"/>
    </i>
    <i>
      <x v="2"/>
    </i>
    <i>
      <x v="3"/>
    </i>
    <i>
      <x v="4"/>
    </i>
    <i>
      <x v="5"/>
    </i>
    <i>
      <x v="6"/>
    </i>
    <i>
      <x v="8"/>
    </i>
    <i>
      <x v="9"/>
    </i>
    <i>
      <x v="10"/>
    </i>
    <i>
      <x v="11"/>
    </i>
    <i>
      <x v="12"/>
    </i>
    <i t="grand">
      <x/>
    </i>
  </rowItems>
  <colFields count="1">
    <field x="-2"/>
  </colFields>
  <colItems count="2">
    <i>
      <x/>
    </i>
    <i i="1">
      <x v="1"/>
    </i>
  </colItems>
  <dataFields count="2">
    <dataField name="VENTAS TOTALES" fld="6" baseField="0" baseItem="0" numFmtId="173"/>
    <dataField name="CANTIDAD" fld="5" baseField="0" baseItem="0"/>
  </dataFields>
  <formats count="8">
    <format dxfId="11">
      <pivotArea dataOnly="0" outline="0" axis="axisValues" fieldPosition="0"/>
    </format>
    <format dxfId="10">
      <pivotArea grandRow="1" outline="0" collapsedLevelsAreSubtotals="1" fieldPosition="0"/>
    </format>
    <format dxfId="9">
      <pivotArea dataOnly="0" labelOnly="1" outline="0" axis="axisValues" fieldPosition="0"/>
    </format>
    <format dxfId="8">
      <pivotArea outline="0" collapsedLevelsAreSubtotals="1" fieldPosition="0"/>
    </format>
    <format dxfId="7">
      <pivotArea dataOnly="0" labelOnly="1" outline="0" fieldPosition="0">
        <references count="1">
          <reference field="4294967294" count="1">
            <x v="1"/>
          </reference>
        </references>
      </pivotArea>
    </format>
    <format dxfId="6">
      <pivotArea collapsedLevelsAreSubtotals="1" fieldPosition="0">
        <references count="2">
          <reference field="4294967294" count="1" selected="0">
            <x v="1"/>
          </reference>
          <reference field="7" count="11">
            <x v="1"/>
            <x v="2"/>
            <x v="3"/>
            <x v="4"/>
            <x v="5"/>
            <x v="6"/>
            <x v="8"/>
            <x v="9"/>
            <x v="10"/>
            <x v="11"/>
            <x v="12"/>
          </reference>
        </references>
      </pivotArea>
    </format>
    <format dxfId="5">
      <pivotArea dataOnly="0" outline="0" fieldPosition="0">
        <references count="1">
          <reference field="4294967294" count="1">
            <x v="0"/>
          </reference>
        </references>
      </pivotArea>
    </format>
    <format dxfId="4">
      <pivotArea field="7" grandRow="1" outline="0" collapsedLevelsAreSubtotals="1" axis="axisRow" fieldPosition="0">
        <references count="1">
          <reference field="4294967294" count="1" selected="0">
            <x v="1"/>
          </reference>
        </references>
      </pivotArea>
    </format>
  </formats>
  <chartFormats count="13">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pivotArea type="data" outline="0" fieldPosition="0">
        <references count="2">
          <reference field="4294967294" count="1" selected="0">
            <x v="0"/>
          </reference>
          <reference field="7" count="1" selected="0">
            <x v="1"/>
          </reference>
        </references>
      </pivotArea>
    </chartFormat>
    <chartFormat chart="12" format="11">
      <pivotArea type="data" outline="0" fieldPosition="0">
        <references count="2">
          <reference field="4294967294" count="1" selected="0">
            <x v="0"/>
          </reference>
          <reference field="7" count="1" selected="0">
            <x v="2"/>
          </reference>
        </references>
      </pivotArea>
    </chartFormat>
    <chartFormat chart="12" format="12">
      <pivotArea type="data" outline="0" fieldPosition="0">
        <references count="2">
          <reference field="4294967294" count="1" selected="0">
            <x v="0"/>
          </reference>
          <reference field="7" count="1" selected="0">
            <x v="3"/>
          </reference>
        </references>
      </pivotArea>
    </chartFormat>
    <chartFormat chart="12" format="13">
      <pivotArea type="data" outline="0" fieldPosition="0">
        <references count="2">
          <reference field="4294967294" count="1" selected="0">
            <x v="0"/>
          </reference>
          <reference field="7" count="1" selected="0">
            <x v="4"/>
          </reference>
        </references>
      </pivotArea>
    </chartFormat>
    <chartFormat chart="12" format="14">
      <pivotArea type="data" outline="0" fieldPosition="0">
        <references count="2">
          <reference field="4294967294" count="1" selected="0">
            <x v="0"/>
          </reference>
          <reference field="7" count="1" selected="0">
            <x v="5"/>
          </reference>
        </references>
      </pivotArea>
    </chartFormat>
    <chartFormat chart="12" format="15">
      <pivotArea type="data" outline="0" fieldPosition="0">
        <references count="2">
          <reference field="4294967294" count="1" selected="0">
            <x v="0"/>
          </reference>
          <reference field="7" count="1" selected="0">
            <x v="6"/>
          </reference>
        </references>
      </pivotArea>
    </chartFormat>
    <chartFormat chart="12" format="16">
      <pivotArea type="data" outline="0" fieldPosition="0">
        <references count="2">
          <reference field="4294967294" count="1" selected="0">
            <x v="0"/>
          </reference>
          <reference field="7" count="1" selected="0">
            <x v="8"/>
          </reference>
        </references>
      </pivotArea>
    </chartFormat>
    <chartFormat chart="12" format="17">
      <pivotArea type="data" outline="0" fieldPosition="0">
        <references count="2">
          <reference field="4294967294" count="1" selected="0">
            <x v="0"/>
          </reference>
          <reference field="7" count="1" selected="0">
            <x v="9"/>
          </reference>
        </references>
      </pivotArea>
    </chartFormat>
    <chartFormat chart="12" format="18">
      <pivotArea type="data" outline="0" fieldPosition="0">
        <references count="2">
          <reference field="4294967294" count="1" selected="0">
            <x v="0"/>
          </reference>
          <reference field="7" count="1" selected="0">
            <x v="10"/>
          </reference>
        </references>
      </pivotArea>
    </chartFormat>
    <chartFormat chart="12" format="19">
      <pivotArea type="data" outline="0" fieldPosition="0">
        <references count="2">
          <reference field="4294967294" count="1" selected="0">
            <x v="0"/>
          </reference>
          <reference field="7" count="1" selected="0">
            <x v="11"/>
          </reference>
        </references>
      </pivotArea>
    </chartFormat>
    <chartFormat chart="12" format="20">
      <pivotArea type="data" outline="0" fieldPosition="0">
        <references count="2">
          <reference field="4294967294" count="1" selected="0">
            <x v="0"/>
          </reference>
          <reference field="7"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99BD03-7FB9-534C-930D-CACFDDB94E6B}" name="TablaDinámica11"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5">
  <location ref="B65:C69" firstHeaderRow="1" firstDataRow="1" firstDataCol="1"/>
  <pivotFields count="12">
    <pivotField numFmtId="1" showAll="0"/>
    <pivotField axis="axisRow" showAll="0">
      <items count="4">
        <item x="2"/>
        <item x="1"/>
        <item x="0"/>
        <item t="default"/>
      </items>
    </pivotField>
    <pivotField showAll="0"/>
    <pivotField showAll="0"/>
    <pivotField numFmtId="170" showAll="0"/>
    <pivotField numFmtId="1" showAll="0"/>
    <pivotField dataField="1" numFmtId="170" showAll="0"/>
    <pivotField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1">
    <field x="1"/>
  </rowFields>
  <rowItems count="4">
    <i>
      <x/>
    </i>
    <i>
      <x v="1"/>
    </i>
    <i>
      <x v="2"/>
    </i>
    <i t="grand">
      <x/>
    </i>
  </rowItems>
  <colItems count="1">
    <i/>
  </colItems>
  <dataFields count="1">
    <dataField name="VENTAS TOTALES" fld="6" baseField="0" baseItem="0" numFmtId="173"/>
  </dataFields>
  <formats count="16">
    <format dxfId="27">
      <pivotArea collapsedLevelsAreSubtotals="1" fieldPosition="0">
        <references count="1">
          <reference field="1" count="1">
            <x v="0"/>
          </reference>
        </references>
      </pivotArea>
    </format>
    <format dxfId="26">
      <pivotArea dataOnly="0" labelOnly="1" fieldPosition="0">
        <references count="1">
          <reference field="1" count="1">
            <x v="0"/>
          </reference>
        </references>
      </pivotArea>
    </format>
    <format dxfId="25">
      <pivotArea dataOnly="0" fieldPosition="0">
        <references count="1">
          <reference field="1" count="1">
            <x v="1"/>
          </reference>
        </references>
      </pivotArea>
    </format>
    <format dxfId="24">
      <pivotArea dataOnly="0" fieldPosition="0">
        <references count="1">
          <reference field="1" count="1">
            <x v="2"/>
          </reference>
        </references>
      </pivotArea>
    </format>
    <format dxfId="23">
      <pivotArea grandRow="1" outline="0" collapsedLevelsAreSubtotals="1" fieldPosition="0"/>
    </format>
    <format dxfId="22">
      <pivotArea dataOnly="0" labelOnly="1" grandRow="1" outline="0" fieldPosition="0"/>
    </format>
    <format dxfId="21">
      <pivotArea grandRow="1" outline="0" collapsedLevelsAreSubtotals="1" fieldPosition="0"/>
    </format>
    <format dxfId="20">
      <pivotArea dataOnly="0" labelOnly="1" grandRow="1" outline="0" fieldPosition="0"/>
    </format>
    <format dxfId="19">
      <pivotArea grandRow="1" outline="0" collapsedLevelsAreSubtotals="1" fieldPosition="0"/>
    </format>
    <format dxfId="18">
      <pivotArea dataOnly="0" labelOnly="1" grandRow="1" outline="0" fieldPosition="0"/>
    </format>
    <format dxfId="17">
      <pivotArea outline="0" collapsedLevelsAreSubtotals="1" fieldPosition="0"/>
    </format>
    <format dxfId="16">
      <pivotArea dataOnly="0" labelOnly="1" outline="0" axis="axisValues" fieldPosition="0"/>
    </format>
    <format dxfId="15">
      <pivotArea grandRow="1" outline="0" collapsedLevelsAreSubtotals="1" fieldPosition="0"/>
    </format>
    <format dxfId="14">
      <pivotArea dataOnly="0" labelOnly="1" grandRow="1" outline="0" fieldPosition="0"/>
    </format>
    <format dxfId="13">
      <pivotArea collapsedLevelsAreSubtotals="1" fieldPosition="0">
        <references count="1">
          <reference field="1" count="0"/>
        </references>
      </pivotArea>
    </format>
    <format dxfId="12">
      <pivotArea dataOnly="0" labelOnly="1" fieldPosition="0">
        <references count="1">
          <reference field="1" count="0"/>
        </references>
      </pivotArea>
    </format>
  </formats>
  <chartFormats count="8">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0"/>
          </reference>
        </references>
      </pivotArea>
    </chartFormat>
    <chartFormat chart="3" format="3">
      <pivotArea type="data" outline="0" fieldPosition="0">
        <references count="2">
          <reference field="4294967294" count="1" selected="0">
            <x v="0"/>
          </reference>
          <reference field="1" count="1" selected="0">
            <x v="1"/>
          </reference>
        </references>
      </pivotArea>
    </chartFormat>
    <chartFormat chart="3" format="4">
      <pivotArea type="data" outline="0" fieldPosition="0">
        <references count="2">
          <reference field="4294967294" count="1" selected="0">
            <x v="0"/>
          </reference>
          <reference field="1" count="1" selected="0">
            <x v="2"/>
          </reference>
        </references>
      </pivotArea>
    </chartFormat>
    <chartFormat chart="13" format="13" series="1">
      <pivotArea type="data" outline="0" fieldPosition="0">
        <references count="1">
          <reference field="4294967294" count="1" selected="0">
            <x v="0"/>
          </reference>
        </references>
      </pivotArea>
    </chartFormat>
    <chartFormat chart="13" format="14">
      <pivotArea type="data" outline="0" fieldPosition="0">
        <references count="2">
          <reference field="4294967294" count="1" selected="0">
            <x v="0"/>
          </reference>
          <reference field="1" count="1" selected="0">
            <x v="0"/>
          </reference>
        </references>
      </pivotArea>
    </chartFormat>
    <chartFormat chart="13" format="15">
      <pivotArea type="data" outline="0" fieldPosition="0">
        <references count="2">
          <reference field="4294967294" count="1" selected="0">
            <x v="0"/>
          </reference>
          <reference field="1" count="1" selected="0">
            <x v="1"/>
          </reference>
        </references>
      </pivotArea>
    </chartFormat>
    <chartFormat chart="13" format="16">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BD84F0-82B8-FD44-B274-F0DAC6221340}" name="Sucursales que generan mas ventas en precio y cantidad" cacheId="0" dataPosition="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6" rowHeaderCaption="Sucursales">
  <location ref="G22:I26" firstHeaderRow="0" firstDataRow="1" firstDataCol="1"/>
  <pivotFields count="12">
    <pivotField numFmtId="1" showAll="0"/>
    <pivotField axis="axisRow" showAll="0">
      <items count="4">
        <item x="2"/>
        <item x="1"/>
        <item x="0"/>
        <item t="default"/>
      </items>
    </pivotField>
    <pivotField showAll="0"/>
    <pivotField showAll="0"/>
    <pivotField dataField="1" numFmtId="165" showAll="0"/>
    <pivotField dataField="1" numFmtId="1" showAll="0"/>
    <pivotField numFmtId="165" showAll="0"/>
    <pivotField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1">
    <field x="1"/>
  </rowFields>
  <rowItems count="4">
    <i>
      <x/>
    </i>
    <i>
      <x v="1"/>
    </i>
    <i>
      <x v="2"/>
    </i>
    <i t="grand">
      <x/>
    </i>
  </rowItems>
  <colFields count="1">
    <field x="-2"/>
  </colFields>
  <colItems count="2">
    <i>
      <x/>
    </i>
    <i i="1">
      <x v="1"/>
    </i>
  </colItems>
  <dataFields count="2">
    <dataField name="Precios unitarios" fld="4" baseField="0" baseItem="0" numFmtId="173"/>
    <dataField name="Cantidades" fld="5" baseField="0" baseItem="0" numFmtId="168"/>
  </dataFields>
  <formats count="14">
    <format dxfId="41">
      <pivotArea collapsedLevelsAreSubtotals="1" fieldPosition="0">
        <references count="2">
          <reference field="4294967294" count="1" selected="0">
            <x v="0"/>
          </reference>
          <reference field="1" count="0"/>
        </references>
      </pivotArea>
    </format>
    <format dxfId="40">
      <pivotArea collapsedLevelsAreSubtotals="1" fieldPosition="0">
        <references count="2">
          <reference field="4294967294" count="1" selected="0">
            <x v="1"/>
          </reference>
          <reference field="1" count="0"/>
        </references>
      </pivotArea>
    </format>
    <format dxfId="39">
      <pivotArea field="1" grandRow="1" outline="0" collapsedLevelsAreSubtotals="1" axis="axisRow" fieldPosition="0">
        <references count="1">
          <reference field="4294967294" count="1" selected="0">
            <x v="1"/>
          </reference>
        </references>
      </pivotArea>
    </format>
    <format dxfId="38">
      <pivotArea collapsedLevelsAreSubtotals="1" fieldPosition="0">
        <references count="2">
          <reference field="4294967294" count="1" selected="0">
            <x v="0"/>
          </reference>
          <reference field="1" count="1">
            <x v="0"/>
          </reference>
        </references>
      </pivotArea>
    </format>
    <format dxfId="37">
      <pivotArea collapsedLevelsAreSubtotals="1" fieldPosition="0">
        <references count="2">
          <reference field="4294967294" count="1" selected="0">
            <x v="1"/>
          </reference>
          <reference field="1" count="1">
            <x v="2"/>
          </reference>
        </references>
      </pivotArea>
    </format>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1">
            <x v="1"/>
          </reference>
        </references>
      </pivotArea>
    </format>
    <format dxfId="32">
      <pivotArea outline="0" collapsedLevelsAreSubtotals="1" fieldPosition="0">
        <references count="1">
          <reference field="4294967294" count="1" selected="0">
            <x v="1"/>
          </reference>
        </references>
      </pivotArea>
    </format>
    <format dxfId="31">
      <pivotArea field="1" grandRow="1" outline="0" collapsedLevelsAreSubtotals="1" axis="axisRow" fieldPosition="0">
        <references count="1">
          <reference field="4294967294" count="1" selected="0">
            <x v="0"/>
          </reference>
        </references>
      </pivotArea>
    </format>
    <format dxfId="30">
      <pivotArea outline="0" collapsedLevelsAreSubtotals="1" fieldPosition="0">
        <references count="1">
          <reference field="4294967294" count="1" selected="0">
            <x v="0"/>
          </reference>
        </references>
      </pivotArea>
    </format>
    <format dxfId="29">
      <pivotArea collapsedLevelsAreSubtotals="1" fieldPosition="0">
        <references count="2">
          <reference field="4294967294" count="1" selected="0">
            <x v="1"/>
          </reference>
          <reference field="1" count="0"/>
        </references>
      </pivotArea>
    </format>
    <format dxfId="28">
      <pivotArea collapsedLevelsAreSubtotals="1" fieldPosition="0">
        <references count="2">
          <reference field="4294967294" count="1" selected="0">
            <x v="0"/>
          </reference>
          <reference field="1" count="0"/>
        </references>
      </pivotArea>
    </format>
  </formats>
  <conditionalFormats count="3">
    <conditionalFormat priority="9">
      <pivotAreas count="1">
        <pivotArea type="data" collapsedLevelsAreSubtotals="1" fieldPosition="0">
          <references count="2">
            <reference field="4294967294" count="1" selected="0">
              <x v="0"/>
            </reference>
            <reference field="1" count="3">
              <x v="0"/>
              <x v="1"/>
              <x v="2"/>
            </reference>
          </references>
        </pivotArea>
      </pivotAreas>
    </conditionalFormat>
    <conditionalFormat priority="8">
      <pivotAreas count="1">
        <pivotArea type="data" collapsedLevelsAreSubtotals="1" fieldPosition="0">
          <references count="2">
            <reference field="4294967294" count="1" selected="0">
              <x v="1"/>
            </reference>
            <reference field="1" count="1">
              <x v="2"/>
            </reference>
          </references>
        </pivotArea>
      </pivotAreas>
    </conditionalFormat>
    <conditionalFormat priority="5">
      <pivotAreas count="1">
        <pivotArea type="data" grandRow="1" outline="0" collapsedLevelsAreSubtotals="1" fieldPosition="0">
          <references count="1">
            <reference field="4294967294" count="1" selected="0">
              <x v="0"/>
            </reference>
          </references>
        </pivotArea>
      </pivotAreas>
    </conditionalFormat>
  </conditionalFormats>
  <chartFormats count="2">
    <chartFormat chart="14" format="9" series="1">
      <pivotArea type="data" outline="0" fieldPosition="0">
        <references count="1">
          <reference field="4294967294" count="1" selected="0">
            <x v="0"/>
          </reference>
        </references>
      </pivotArea>
    </chartFormat>
    <chartFormat chart="14"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cursales que generan mas ventas en precio y cantidad"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4B174-86E4-4343-849F-8A045A7AB0A9}" name="TablaDinámica3"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5" rowHeaderCaption="Sucursales">
  <location ref="G29:H42" firstHeaderRow="1" firstDataRow="1" firstDataCol="1"/>
  <pivotFields count="12">
    <pivotField numFmtId="1" showAll="0"/>
    <pivotField axis="axisRow" showAll="0" sortType="descending">
      <items count="4">
        <item x="2"/>
        <item x="1"/>
        <item x="0"/>
        <item t="default"/>
      </items>
      <autoSortScope>
        <pivotArea dataOnly="0" outline="0" fieldPosition="0">
          <references count="1">
            <reference field="4294967294" count="1" selected="0">
              <x v="0"/>
            </reference>
          </references>
        </pivotArea>
      </autoSortScope>
    </pivotField>
    <pivotField showAll="0"/>
    <pivotField axis="axisRow" showAll="0" measureFilter="1" sortType="descending">
      <items count="7">
        <item x="2"/>
        <item x="3"/>
        <item x="4"/>
        <item x="1"/>
        <item x="5"/>
        <item x="0"/>
        <item t="default"/>
      </items>
      <autoSortScope>
        <pivotArea dataOnly="0" outline="0" fieldPosition="0">
          <references count="1">
            <reference field="4294967294" count="1" selected="0">
              <x v="0"/>
            </reference>
          </references>
        </pivotArea>
      </autoSortScope>
    </pivotField>
    <pivotField numFmtId="165" showAll="0"/>
    <pivotField dataField="1" numFmtId="1" showAll="0"/>
    <pivotField numFmtId="165" showAll="0"/>
    <pivotField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2">
    <field x="1"/>
    <field x="3"/>
  </rowFields>
  <rowItems count="13">
    <i>
      <x v="2"/>
    </i>
    <i r="1">
      <x v="2"/>
    </i>
    <i r="1">
      <x/>
    </i>
    <i r="1">
      <x v="4"/>
    </i>
    <i>
      <x/>
    </i>
    <i r="1">
      <x v="4"/>
    </i>
    <i r="1">
      <x v="5"/>
    </i>
    <i r="1">
      <x/>
    </i>
    <i>
      <x v="1"/>
    </i>
    <i r="1">
      <x v="3"/>
    </i>
    <i r="1">
      <x v="1"/>
    </i>
    <i r="1">
      <x/>
    </i>
    <i t="grand">
      <x/>
    </i>
  </rowItems>
  <colItems count="1">
    <i/>
  </colItems>
  <dataFields count="1">
    <dataField name="Cantidades" fld="5" baseField="0" baseItem="0" numFmtId="168"/>
  </dataFields>
  <formats count="2">
    <format dxfId="43">
      <pivotArea dataOnly="0" labelOnly="1" outline="0" axis="axisValues" fieldPosition="0"/>
    </format>
    <format dxfId="42">
      <pivotArea outline="0" collapsedLevelsAreSubtotals="1" fieldPosition="0"/>
    </format>
  </formats>
  <chartFormats count="1">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FBF46F9-466F-5D45-B566-CF546F2FB4EB}" name="TablaDinámica9"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2" rowHeaderCaption="Sucursales/ medios de pago">
  <location ref="G135:H163" firstHeaderRow="1" firstDataRow="1" firstDataCol="1"/>
  <pivotFields count="12">
    <pivotField numFmtId="1" showAll="0"/>
    <pivotField axis="axisRow" showAll="0">
      <items count="4">
        <item x="2"/>
        <item x="1"/>
        <item x="0"/>
        <item t="default"/>
      </items>
    </pivotField>
    <pivotField axis="axisRow" dataField="1" showAll="0">
      <items count="3">
        <item x="0"/>
        <item x="1"/>
        <item t="default"/>
      </items>
    </pivotField>
    <pivotField showAll="0"/>
    <pivotField numFmtId="165" showAll="0"/>
    <pivotField numFmtId="1" showAll="0"/>
    <pivotField numFmtId="165" showAll="0"/>
    <pivotField numFmtId="166" showAll="0">
      <items count="15">
        <item x="0"/>
        <item x="1"/>
        <item x="2"/>
        <item x="3"/>
        <item x="4"/>
        <item x="5"/>
        <item x="6"/>
        <item x="7"/>
        <item x="8"/>
        <item x="9"/>
        <item x="10"/>
        <item x="11"/>
        <item x="12"/>
        <item x="13"/>
        <item t="default"/>
      </items>
    </pivotField>
    <pivotField numFmtId="167" showAll="0"/>
    <pivotField axis="axisRow" showAll="0" sortType="descending">
      <items count="4">
        <item sd="0" x="2"/>
        <item sd="0" x="0"/>
        <item sd="0" x="1"/>
        <item t="default"/>
      </items>
      <autoSortScope>
        <pivotArea dataOnly="0" outline="0" fieldPosition="0">
          <references count="1">
            <reference field="4294967294" count="1" selected="0">
              <x v="0"/>
            </reference>
          </references>
        </pivotArea>
      </autoSortScope>
    </pivotField>
    <pivotField numFmtId="1" showAll="0"/>
    <pivotField showAll="0"/>
  </pivotFields>
  <rowFields count="3">
    <field x="1"/>
    <field x="2"/>
    <field x="9"/>
  </rowFields>
  <rowItems count="28">
    <i>
      <x/>
    </i>
    <i r="1">
      <x/>
    </i>
    <i r="2">
      <x v="2"/>
    </i>
    <i r="2">
      <x/>
    </i>
    <i r="2">
      <x v="1"/>
    </i>
    <i r="1">
      <x v="1"/>
    </i>
    <i r="2">
      <x v="2"/>
    </i>
    <i r="2">
      <x v="1"/>
    </i>
    <i r="2">
      <x/>
    </i>
    <i>
      <x v="1"/>
    </i>
    <i r="1">
      <x/>
    </i>
    <i r="2">
      <x/>
    </i>
    <i r="2">
      <x v="1"/>
    </i>
    <i r="2">
      <x v="2"/>
    </i>
    <i r="1">
      <x v="1"/>
    </i>
    <i r="2">
      <x v="2"/>
    </i>
    <i r="2">
      <x/>
    </i>
    <i r="2">
      <x v="1"/>
    </i>
    <i>
      <x v="2"/>
    </i>
    <i r="1">
      <x/>
    </i>
    <i r="2">
      <x v="1"/>
    </i>
    <i r="2">
      <x v="2"/>
    </i>
    <i r="2">
      <x/>
    </i>
    <i r="1">
      <x v="1"/>
    </i>
    <i r="2">
      <x/>
    </i>
    <i r="2">
      <x v="2"/>
    </i>
    <i r="2">
      <x v="1"/>
    </i>
    <i t="grand">
      <x/>
    </i>
  </rowItems>
  <colItems count="1">
    <i/>
  </colItems>
  <dataFields count="1">
    <dataField name="Clientes" fld="2" subtotal="count" baseField="0" baseItem="0" numFmtId="168"/>
  </dataFields>
  <formats count="20">
    <format dxfId="63">
      <pivotArea dataOnly="0" outline="0" axis="axisValues" fieldPosition="0"/>
    </format>
    <format dxfId="62">
      <pivotArea grandRow="1" outline="0" collapsedLevelsAreSubtotals="1" fieldPosition="0"/>
    </format>
    <format dxfId="61">
      <pivotArea dataOnly="0" labelOnly="1" fieldPosition="0">
        <references count="2">
          <reference field="1" count="1" selected="0">
            <x v="0"/>
          </reference>
          <reference field="9" count="1">
            <x v="2"/>
          </reference>
        </references>
      </pivotArea>
    </format>
    <format dxfId="60">
      <pivotArea collapsedLevelsAreSubtotals="1" fieldPosition="0">
        <references count="2">
          <reference field="1" count="1" selected="0">
            <x v="0"/>
          </reference>
          <reference field="9" count="1">
            <x v="2"/>
          </reference>
        </references>
      </pivotArea>
    </format>
    <format dxfId="59">
      <pivotArea collapsedLevelsAreSubtotals="1" fieldPosition="0">
        <references count="2">
          <reference field="1" count="1" selected="0">
            <x v="1"/>
          </reference>
          <reference field="9" count="1">
            <x v="0"/>
          </reference>
        </references>
      </pivotArea>
    </format>
    <format dxfId="58">
      <pivotArea dataOnly="0" labelOnly="1" fieldPosition="0">
        <references count="2">
          <reference field="1" count="1" selected="0">
            <x v="1"/>
          </reference>
          <reference field="9" count="1">
            <x v="0"/>
          </reference>
        </references>
      </pivotArea>
    </format>
    <format dxfId="57">
      <pivotArea collapsedLevelsAreSubtotals="1" fieldPosition="0">
        <references count="2">
          <reference field="1" count="1" selected="0">
            <x v="2"/>
          </reference>
          <reference field="9" count="1">
            <x v="0"/>
          </reference>
        </references>
      </pivotArea>
    </format>
    <format dxfId="56">
      <pivotArea dataOnly="0" labelOnly="1" fieldPosition="0">
        <references count="2">
          <reference field="1" count="1" selected="0">
            <x v="2"/>
          </reference>
          <reference field="9" count="1">
            <x v="0"/>
          </reference>
        </references>
      </pivotArea>
    </format>
    <format dxfId="55">
      <pivotArea dataOnly="0" labelOnly="1" outline="0" axis="axisValues" fieldPosition="0"/>
    </format>
    <format dxfId="54">
      <pivotArea outline="0" collapsedLevelsAreSubtotals="1" fieldPosition="0"/>
    </format>
    <format dxfId="53">
      <pivotArea collapsedLevelsAreSubtotals="1" fieldPosition="0">
        <references count="3">
          <reference field="1" count="1" selected="0">
            <x v="1"/>
          </reference>
          <reference field="2" count="1" selected="0">
            <x v="1"/>
          </reference>
          <reference field="9" count="1">
            <x v="2"/>
          </reference>
        </references>
      </pivotArea>
    </format>
    <format dxfId="52">
      <pivotArea dataOnly="0" labelOnly="1" fieldPosition="0">
        <references count="3">
          <reference field="1" count="1" selected="0">
            <x v="1"/>
          </reference>
          <reference field="2" count="1" selected="0">
            <x v="1"/>
          </reference>
          <reference field="9" count="1">
            <x v="2"/>
          </reference>
        </references>
      </pivotArea>
    </format>
    <format dxfId="51">
      <pivotArea collapsedLevelsAreSubtotals="1" fieldPosition="0">
        <references count="3">
          <reference field="1" count="1" selected="0">
            <x v="1"/>
          </reference>
          <reference field="2" count="1" selected="0">
            <x v="1"/>
          </reference>
          <reference field="9" count="1">
            <x v="0"/>
          </reference>
        </references>
      </pivotArea>
    </format>
    <format dxfId="50">
      <pivotArea dataOnly="0" labelOnly="1" fieldPosition="0">
        <references count="3">
          <reference field="1" count="1" selected="0">
            <x v="1"/>
          </reference>
          <reference field="2" count="1" selected="0">
            <x v="1"/>
          </reference>
          <reference field="9" count="1">
            <x v="0"/>
          </reference>
        </references>
      </pivotArea>
    </format>
    <format dxfId="49">
      <pivotArea collapsedLevelsAreSubtotals="1" fieldPosition="0">
        <references count="3">
          <reference field="1" count="1" selected="0">
            <x v="1"/>
          </reference>
          <reference field="2" count="1" selected="0">
            <x v="1"/>
          </reference>
          <reference field="9" count="1">
            <x v="2"/>
          </reference>
        </references>
      </pivotArea>
    </format>
    <format dxfId="48">
      <pivotArea collapsedLevelsAreSubtotals="1" fieldPosition="0">
        <references count="3">
          <reference field="1" count="1" selected="0">
            <x v="1"/>
          </reference>
          <reference field="2" count="1" selected="0">
            <x v="1"/>
          </reference>
          <reference field="9" count="1">
            <x v="2"/>
          </reference>
        </references>
      </pivotArea>
    </format>
    <format dxfId="47">
      <pivotArea collapsedLevelsAreSubtotals="1" fieldPosition="0">
        <references count="3">
          <reference field="1" count="1" selected="0">
            <x v="2"/>
          </reference>
          <reference field="2" count="1" selected="0">
            <x v="0"/>
          </reference>
          <reference field="9" count="1">
            <x v="1"/>
          </reference>
        </references>
      </pivotArea>
    </format>
    <format dxfId="46">
      <pivotArea dataOnly="0" labelOnly="1" fieldPosition="0">
        <references count="3">
          <reference field="1" count="1" selected="0">
            <x v="2"/>
          </reference>
          <reference field="2" count="1" selected="0">
            <x v="0"/>
          </reference>
          <reference field="9" count="1">
            <x v="1"/>
          </reference>
        </references>
      </pivotArea>
    </format>
    <format dxfId="45">
      <pivotArea collapsedLevelsAreSubtotals="1" fieldPosition="0">
        <references count="3">
          <reference field="1" count="1" selected="0">
            <x v="2"/>
          </reference>
          <reference field="2" count="1" selected="0">
            <x v="0"/>
          </reference>
          <reference field="9" count="1">
            <x v="0"/>
          </reference>
        </references>
      </pivotArea>
    </format>
    <format dxfId="44">
      <pivotArea dataOnly="0" labelOnly="1" fieldPosition="0">
        <references count="3">
          <reference field="1" count="1" selected="0">
            <x v="2"/>
          </reference>
          <reference field="2" count="1" selected="0">
            <x v="0"/>
          </reference>
          <reference field="9" count="1">
            <x v="0"/>
          </reference>
        </references>
      </pivotArea>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A2BA45C-3AF0-9A44-8FB4-A020B8747331}" name="TablaDinámica6"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rowHeaderCaption="Sucursales">
  <location ref="G83:H102" firstHeaderRow="1" firstDataRow="1" firstDataCol="1"/>
  <pivotFields count="12">
    <pivotField numFmtId="1" showAll="0"/>
    <pivotField axis="axisRow" showAll="0" sortType="ascending">
      <items count="4">
        <item x="2"/>
        <item x="1"/>
        <item x="0"/>
        <item t="default"/>
      </items>
    </pivotField>
    <pivotField showAll="0"/>
    <pivotField axis="axisRow" showAll="0" measureFilter="1" sortType="ascending">
      <items count="7">
        <item x="2"/>
        <item x="3"/>
        <item x="4"/>
        <item x="1"/>
        <item x="5"/>
        <item x="0"/>
        <item t="default"/>
      </items>
      <autoSortScope>
        <pivotArea dataOnly="0" outline="0" fieldPosition="0">
          <references count="1">
            <reference field="4294967294" count="1" selected="0">
              <x v="0"/>
            </reference>
          </references>
        </pivotArea>
      </autoSortScope>
    </pivotField>
    <pivotField dataField="1" numFmtId="165" showAll="0"/>
    <pivotField numFmtId="1" showAll="0"/>
    <pivotField numFmtId="165" showAll="0"/>
    <pivotField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2">
    <field x="1"/>
    <field x="3"/>
  </rowFields>
  <rowItems count="19">
    <i>
      <x/>
    </i>
    <i r="1">
      <x v="3"/>
    </i>
    <i r="1">
      <x v="1"/>
    </i>
    <i r="1">
      <x v="2"/>
    </i>
    <i r="1">
      <x v="5"/>
    </i>
    <i r="1">
      <x/>
    </i>
    <i>
      <x v="1"/>
    </i>
    <i r="1">
      <x v="4"/>
    </i>
    <i r="1">
      <x/>
    </i>
    <i r="1">
      <x v="2"/>
    </i>
    <i r="1">
      <x v="3"/>
    </i>
    <i r="1">
      <x v="5"/>
    </i>
    <i>
      <x v="2"/>
    </i>
    <i r="1">
      <x v="3"/>
    </i>
    <i r="1">
      <x v="5"/>
    </i>
    <i r="1">
      <x v="4"/>
    </i>
    <i r="1">
      <x/>
    </i>
    <i r="1">
      <x v="1"/>
    </i>
    <i t="grand">
      <x/>
    </i>
  </rowItems>
  <colItems count="1">
    <i/>
  </colItems>
  <dataFields count="1">
    <dataField name="Precios Unitarios (USD)" fld="4" baseField="0" baseItem="0" numFmtId="173"/>
  </dataFields>
  <formats count="9">
    <format dxfId="72">
      <pivotArea dataOnly="0" labelOnly="1" outline="0" axis="axisValues" fieldPosition="0"/>
    </format>
    <format dxfId="71">
      <pivotArea collapsedLevelsAreSubtotals="1" fieldPosition="0">
        <references count="1">
          <reference field="1" count="1">
            <x v="0"/>
          </reference>
        </references>
      </pivotArea>
    </format>
    <format dxfId="70">
      <pivotArea collapsedLevelsAreSubtotals="1" fieldPosition="0">
        <references count="2">
          <reference field="1" count="1" selected="0">
            <x v="0"/>
          </reference>
          <reference field="3" count="5">
            <x v="0"/>
            <x v="1"/>
            <x v="2"/>
            <x v="3"/>
            <x v="5"/>
          </reference>
        </references>
      </pivotArea>
    </format>
    <format dxfId="69">
      <pivotArea collapsedLevelsAreSubtotals="1" fieldPosition="0">
        <references count="1">
          <reference field="1" count="1">
            <x v="1"/>
          </reference>
        </references>
      </pivotArea>
    </format>
    <format dxfId="68">
      <pivotArea collapsedLevelsAreSubtotals="1" fieldPosition="0">
        <references count="2">
          <reference field="1" count="1" selected="0">
            <x v="1"/>
          </reference>
          <reference field="3" count="5">
            <x v="0"/>
            <x v="2"/>
            <x v="3"/>
            <x v="4"/>
            <x v="5"/>
          </reference>
        </references>
      </pivotArea>
    </format>
    <format dxfId="67">
      <pivotArea collapsedLevelsAreSubtotals="1" fieldPosition="0">
        <references count="1">
          <reference field="1" count="1">
            <x v="2"/>
          </reference>
        </references>
      </pivotArea>
    </format>
    <format dxfId="66">
      <pivotArea collapsedLevelsAreSubtotals="1" fieldPosition="0">
        <references count="2">
          <reference field="1" count="1" selected="0">
            <x v="2"/>
          </reference>
          <reference field="3" count="5">
            <x v="0"/>
            <x v="1"/>
            <x v="3"/>
            <x v="4"/>
            <x v="5"/>
          </reference>
        </references>
      </pivotArea>
    </format>
    <format dxfId="65">
      <pivotArea grandRow="1" outline="0" collapsedLevelsAreSubtotals="1" fieldPosition="0"/>
    </format>
    <format dxfId="64">
      <pivotArea outline="0" collapsedLevelsAreSubtotals="1" fieldPosition="0"/>
    </format>
  </formats>
  <conditionalFormats count="1">
    <conditionalFormat priority="3">
      <pivotAreas count="6">
        <pivotArea type="data" collapsedLevelsAreSubtotals="1" fieldPosition="0">
          <references count="2">
            <reference field="4294967294" count="1" selected="0">
              <x v="0"/>
            </reference>
            <reference field="1" count="1">
              <x v="0"/>
            </reference>
          </references>
        </pivotArea>
        <pivotArea type="data" collapsedLevelsAreSubtotals="1" fieldPosition="0">
          <references count="3">
            <reference field="4294967294" count="1" selected="0">
              <x v="0"/>
            </reference>
            <reference field="1" count="1" selected="0">
              <x v="0"/>
            </reference>
            <reference field="3" count="5">
              <x v="0"/>
              <x v="1"/>
              <x v="2"/>
              <x v="3"/>
              <x v="5"/>
            </reference>
          </references>
        </pivotArea>
        <pivotArea type="data" collapsedLevelsAreSubtotals="1" fieldPosition="0">
          <references count="2">
            <reference field="4294967294" count="1" selected="0">
              <x v="0"/>
            </reference>
            <reference field="1" count="1">
              <x v="1"/>
            </reference>
          </references>
        </pivotArea>
        <pivotArea type="data" collapsedLevelsAreSubtotals="1" fieldPosition="0">
          <references count="3">
            <reference field="4294967294" count="1" selected="0">
              <x v="0"/>
            </reference>
            <reference field="1" count="1" selected="0">
              <x v="1"/>
            </reference>
            <reference field="3" count="5">
              <x v="0"/>
              <x v="2"/>
              <x v="3"/>
              <x v="4"/>
              <x v="5"/>
            </reference>
          </references>
        </pivotArea>
        <pivotArea type="data" collapsedLevelsAreSubtotals="1" fieldPosition="0">
          <references count="2">
            <reference field="4294967294" count="1" selected="0">
              <x v="0"/>
            </reference>
            <reference field="1" count="1">
              <x v="2"/>
            </reference>
          </references>
        </pivotArea>
        <pivotArea type="data" collapsedLevelsAreSubtotals="1" fieldPosition="0">
          <references count="3">
            <reference field="4294967294" count="1" selected="0">
              <x v="0"/>
            </reference>
            <reference field="1" count="1" selected="0">
              <x v="2"/>
            </reference>
            <reference field="3" count="5">
              <x v="0"/>
              <x v="1"/>
              <x v="3"/>
              <x v="4"/>
              <x v="5"/>
            </reference>
          </references>
        </pivotArea>
      </pivotAreas>
    </conditionalFormat>
  </conditionalFormats>
  <pivotTableStyleInfo name="PivotStyleLight16" showRowHeaders="1" showColHeaders="1" showRowStripes="0" showColStripes="0" showLastColumn="1"/>
  <filters count="1">
    <filter fld="3"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807AD13-5C62-1A48-BD03-5B45E627D375}" name="TablaDinámica4"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3" rowHeaderCaption="Sucursales">
  <location ref="G45:H58" firstHeaderRow="1" firstDataRow="1" firstDataCol="1"/>
  <pivotFields count="12">
    <pivotField numFmtId="1" showAll="0"/>
    <pivotField axis="axisRow" showAll="0" sortType="descending">
      <items count="4">
        <item x="2"/>
        <item x="1"/>
        <item x="0"/>
        <item t="default"/>
      </items>
      <autoSortScope>
        <pivotArea dataOnly="0" outline="0" fieldPosition="0">
          <references count="1">
            <reference field="4294967294" count="1" selected="0">
              <x v="0"/>
            </reference>
          </references>
        </pivotArea>
      </autoSortScope>
    </pivotField>
    <pivotField showAll="0"/>
    <pivotField axis="axisRow" showAll="0" measureFilter="1" sortType="descending">
      <items count="7">
        <item x="2"/>
        <item x="3"/>
        <item x="4"/>
        <item x="1"/>
        <item x="5"/>
        <item x="0"/>
        <item t="default"/>
      </items>
      <autoSortScope>
        <pivotArea dataOnly="0" outline="0" fieldPosition="0">
          <references count="1">
            <reference field="4294967294" count="1" selected="0">
              <x v="0"/>
            </reference>
          </references>
        </pivotArea>
      </autoSortScope>
    </pivotField>
    <pivotField numFmtId="165" showAll="0"/>
    <pivotField dataField="1" numFmtId="1" showAll="0"/>
    <pivotField numFmtId="165" showAll="0"/>
    <pivotField numFmtId="166" showAll="0">
      <items count="15">
        <item x="0"/>
        <item x="1"/>
        <item x="2"/>
        <item x="3"/>
        <item x="4"/>
        <item x="5"/>
        <item x="6"/>
        <item x="7"/>
        <item x="8"/>
        <item x="9"/>
        <item x="10"/>
        <item x="11"/>
        <item x="12"/>
        <item x="13"/>
        <item t="default"/>
      </items>
    </pivotField>
    <pivotField numFmtId="167" showAll="0"/>
    <pivotField showAll="0"/>
    <pivotField numFmtId="1" showAll="0"/>
    <pivotField showAll="0"/>
  </pivotFields>
  <rowFields count="2">
    <field x="1"/>
    <field x="3"/>
  </rowFields>
  <rowItems count="13">
    <i>
      <x v="2"/>
    </i>
    <i r="1">
      <x v="5"/>
    </i>
    <i r="1">
      <x v="1"/>
    </i>
    <i r="1">
      <x v="3"/>
    </i>
    <i>
      <x/>
    </i>
    <i r="1">
      <x v="2"/>
    </i>
    <i r="1">
      <x v="1"/>
    </i>
    <i r="1">
      <x v="3"/>
    </i>
    <i>
      <x v="1"/>
    </i>
    <i r="1">
      <x v="5"/>
    </i>
    <i r="1">
      <x v="2"/>
    </i>
    <i r="1">
      <x v="4"/>
    </i>
    <i t="grand">
      <x/>
    </i>
  </rowItems>
  <colItems count="1">
    <i/>
  </colItems>
  <dataFields count="1">
    <dataField name="Cantidades" fld="5" baseField="0" baseItem="0" numFmtId="1"/>
  </dataFields>
  <formats count="2">
    <format dxfId="74">
      <pivotArea dataOnly="0" outline="0" axis="axisValues" fieldPosition="0"/>
    </format>
    <format dxfId="73">
      <pivotArea outline="0" collapsedLevelsAreSubtotals="1"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5D4D3F7-D6C6-C243-9327-839745373D02}" name="TablaDinámicahoras" cacheId="0"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chartFormat="12" rowHeaderCaption="Horas ">
  <location ref="G105:H117" firstHeaderRow="1" firstDataRow="1" firstDataCol="1"/>
  <pivotFields count="12">
    <pivotField numFmtId="1" showAll="0"/>
    <pivotField showAll="0">
      <items count="4">
        <item x="2"/>
        <item x="1"/>
        <item x="0"/>
        <item t="default"/>
      </items>
    </pivotField>
    <pivotField showAll="0"/>
    <pivotField showAll="0"/>
    <pivotField numFmtId="165" showAll="0"/>
    <pivotField numFmtId="1" showAll="0"/>
    <pivotField dataField="1" numFmtId="165" showAll="0"/>
    <pivotField numFmtId="166" showAll="0">
      <items count="15">
        <item x="0"/>
        <item x="1"/>
        <item x="2"/>
        <item x="3"/>
        <item x="4"/>
        <item x="5"/>
        <item x="6"/>
        <item x="7"/>
        <item x="8"/>
        <item x="9"/>
        <item x="10"/>
        <item x="11"/>
        <item x="12"/>
        <item x="13"/>
        <item t="default"/>
      </items>
    </pivotField>
    <pivotField axis="axisRow" numFmtId="167" showAll="0" sortType="descending">
      <items count="27">
        <item x="0"/>
        <item x="1"/>
        <item x="2"/>
        <item x="3"/>
        <item x="4"/>
        <item x="5"/>
        <item x="6"/>
        <item x="7"/>
        <item x="8"/>
        <item x="9"/>
        <item x="10"/>
        <item x="11"/>
        <item x="12"/>
        <item x="13"/>
        <item x="14"/>
        <item x="15"/>
        <item x="16"/>
        <item x="17"/>
        <item x="18"/>
        <item x="19"/>
        <item x="20"/>
        <item x="21"/>
        <item x="22"/>
        <item x="23"/>
        <item x="24"/>
        <item x="25"/>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s>
  <rowFields count="1">
    <field x="8"/>
  </rowFields>
  <rowItems count="12">
    <i>
      <x v="20"/>
    </i>
    <i>
      <x v="14"/>
    </i>
    <i>
      <x v="11"/>
    </i>
    <i>
      <x v="16"/>
    </i>
    <i>
      <x v="15"/>
    </i>
    <i>
      <x v="12"/>
    </i>
    <i>
      <x v="13"/>
    </i>
    <i>
      <x v="19"/>
    </i>
    <i>
      <x v="17"/>
    </i>
    <i>
      <x v="18"/>
    </i>
    <i>
      <x v="21"/>
    </i>
    <i t="grand">
      <x/>
    </i>
  </rowItems>
  <colItems count="1">
    <i/>
  </colItems>
  <dataFields count="1">
    <dataField name="Ventas totales" fld="6" baseField="0" baseItem="0" numFmtId="173"/>
  </dataFields>
  <formats count="14">
    <format dxfId="88">
      <pivotArea dataOnly="0" outline="0" axis="axisValues" fieldPosition="0"/>
    </format>
    <format dxfId="87">
      <pivotArea dataOnly="0" labelOnly="1" fieldPosition="0">
        <references count="1">
          <reference field="8" count="1">
            <x v="20"/>
          </reference>
        </references>
      </pivotArea>
    </format>
    <format dxfId="86">
      <pivotArea dataOnly="0" labelOnly="1" fieldPosition="0">
        <references count="1">
          <reference field="8" count="1">
            <x v="20"/>
          </reference>
        </references>
      </pivotArea>
    </format>
    <format dxfId="85">
      <pivotArea dataOnly="0" labelOnly="1" fieldPosition="0">
        <references count="1">
          <reference field="8" count="1">
            <x v="20"/>
          </reference>
        </references>
      </pivotArea>
    </format>
    <format dxfId="84">
      <pivotArea collapsedLevelsAreSubtotals="1" fieldPosition="0">
        <references count="1">
          <reference field="8" count="1">
            <x v="20"/>
          </reference>
        </references>
      </pivotArea>
    </format>
    <format dxfId="83">
      <pivotArea collapsedLevelsAreSubtotals="1" fieldPosition="0">
        <references count="1">
          <reference field="8" count="1">
            <x v="20"/>
          </reference>
        </references>
      </pivotArea>
    </format>
    <format dxfId="82">
      <pivotArea dataOnly="0" outline="0" axis="axisValues" fieldPosition="0"/>
    </format>
    <format dxfId="81">
      <pivotArea dataOnly="0" labelOnly="1" outline="0" axis="axisValues" fieldPosition="0"/>
    </format>
    <format dxfId="80">
      <pivotArea outline="0" collapsedLevelsAreSubtotals="1" fieldPosition="0"/>
    </format>
    <format dxfId="79">
      <pivotArea collapsedLevelsAreSubtotals="1" fieldPosition="0">
        <references count="1">
          <reference field="8" count="1">
            <x v="20"/>
          </reference>
        </references>
      </pivotArea>
    </format>
    <format dxfId="78">
      <pivotArea collapsedLevelsAreSubtotals="1" fieldPosition="0">
        <references count="1">
          <reference field="8" count="1">
            <x v="20"/>
          </reference>
        </references>
      </pivotArea>
    </format>
    <format dxfId="77">
      <pivotArea collapsedLevelsAreSubtotals="1" fieldPosition="0">
        <references count="1">
          <reference field="8" count="1">
            <x v="20"/>
          </reference>
        </references>
      </pivotArea>
    </format>
    <format dxfId="76">
      <pivotArea outline="0" collapsedLevelsAreSubtotals="1" fieldPosition="0"/>
    </format>
    <format dxfId="75">
      <pivotArea dataOnly="0" labelOnly="1" fieldPosition="0">
        <references count="1">
          <reference field="8" count="11">
            <x v="11"/>
            <x v="12"/>
            <x v="13"/>
            <x v="14"/>
            <x v="15"/>
            <x v="16"/>
            <x v="17"/>
            <x v="18"/>
            <x v="19"/>
            <x v="20"/>
            <x v="2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CURSAL" xr10:uid="{C2B70FB3-4A7D-B445-80A4-C03A3D0B5C64}" sourceName="SUCURSAL">
  <pivotTables>
    <pivotTable tabId="2" name="Sucursales que generan mas ventas en precio y cantidad"/>
    <pivotTable tabId="2" name="inámica8mes en ventas y cantidades_"/>
    <pivotTable tabId="2" name="TablaDinámica11"/>
    <pivotTable tabId="2" name="TablaDinámica3"/>
    <pivotTable tabId="2" name="TablaDinámica4"/>
    <pivotTable tabId="2" name="TablaDinámica5"/>
    <pivotTable tabId="2" name="TablaDinámica6"/>
    <pivotTable tabId="2" name="TablaDinámicahoras"/>
    <pivotTable tabId="2" name="TablaDinámica9"/>
  </pivotTables>
  <data>
    <tabular pivotCacheId="28501764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CURSALS" xr10:uid="{2298EE23-83C6-FC47-BEE6-8CD732342200}" cache="SegmentaciónDeDatos_SUCURSAL" caption="SUCURSAL" style="SlicerStyleDark5"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3921D9-FBB9-D54E-BD9A-20F7F1F8FBD8}" name="Tabla_Ventas" displayName="Tabla_Ventas" ref="A3:L1003" totalsRowShown="0" dataDxfId="110" headerRowBorderDxfId="111" tableBorderDxfId="109" totalsRowBorderDxfId="108">
  <autoFilter ref="A3:L1003" xr:uid="{00000000-0009-0000-0000-000000000000}"/>
  <tableColumns count="12">
    <tableColumn id="1" xr3:uid="{F4E3AF33-E986-E341-BFFE-CC93BC7BF7F6}" name=" FACTURA ID / INVOICE ID" dataDxfId="107"/>
    <tableColumn id="2" xr3:uid="{CA8EBAD7-7850-EB48-BBE8-204A82BB6FE8}" name="SUCURSAL" dataDxfId="106"/>
    <tableColumn id="3" xr3:uid="{6816E7B4-D66F-9F48-B542-5E8D30887E16}" name="TIPO DE CLIENTE/ Customer type" dataDxfId="105"/>
    <tableColumn id="4" xr3:uid="{45838492-61EA-9344-904C-521B81910AAE}" name="LINEA DE PRODUCTO/ Product line" dataDxfId="104"/>
    <tableColumn id="5" xr3:uid="{C0E7139E-D0C6-0846-AD05-BE3D49476DD0}" name="PRECIO UNITARIO/ Unit price (USD)" dataDxfId="103"/>
    <tableColumn id="6" xr3:uid="{2D06C167-A97D-2B4A-AA9A-E027DD1D3EC4}" name="CANTIDAD/ Quantity" dataDxfId="102"/>
    <tableColumn id="7" xr3:uid="{E635F966-5368-9742-8D37-A84D64981501}" name="VENTA TOTAL" dataDxfId="101">
      <calculatedColumnFormula>F4*E4</calculatedColumnFormula>
    </tableColumn>
    <tableColumn id="8" xr3:uid="{1558A9B2-C242-F04B-9157-AA2D4D7335C0}" name="FECHA/ Date" dataDxfId="100"/>
    <tableColumn id="9" xr3:uid="{1A66F28A-8EF9-4545-BE0F-A5BCFD18BCAE}" name="Time" dataDxfId="99"/>
    <tableColumn id="10" xr3:uid="{8C91DE87-7324-E54D-A88B-BA880A3EF4B7}" name="PAGO/ Payment" dataDxfId="98"/>
    <tableColumn id="11" xr3:uid="{4DD37C02-6108-1847-926C-8FDB49004B29}" name="Rating" dataDxfId="97"/>
    <tableColumn id="13" xr3:uid="{E090FBC4-F2C1-BB43-AEAA-33E068307C6F}" name="Sorteo " dataDxfId="96">
      <calculatedColumnFormula>IF(AND(Tabla_Ventas[[#This Row],[VENTA TOTAL]]&gt;=30,Tabla_Ventas[[#This Row],[TIPO DE CLIENTE/ Customer type]]="Member"),"PARTICIPA","NO PARTICIPA")</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__Date" xr10:uid="{8A4B0D61-1679-FC4B-A655-D6B96EC048BC}" sourceName="FECHA/ Date">
  <pivotTables>
    <pivotTable tabId="2" name="inámica8mes en ventas y cantidades_"/>
    <pivotTable tabId="2" name="Sucursales que generan mas ventas en precio y cantidad"/>
    <pivotTable tabId="2" name="TablaDinámica11"/>
    <pivotTable tabId="2" name="TablaDinámica3"/>
    <pivotTable tabId="2" name="TablaDinámica4"/>
    <pivotTable tabId="2" name="TablaDinámica5"/>
    <pivotTable tabId="2" name="TablaDinámica6"/>
    <pivotTable tabId="2" name="TablaDinámica9"/>
    <pivotTable tabId="2" name="TablaDinámicahoras"/>
  </pivotTables>
  <state minimalRefreshVersion="6" lastRefreshVersion="6" pivotCacheId="285017645" filterType="unknown">
    <bounds startDate="2019-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Date" xr10:uid="{DCFB1AAA-8C03-6240-99EC-5E766FFDE710}" cache="NativeTimeline_FECHA__Date" caption="FECHA" level="2" selectionLevel="2" scrollPosition="2019-02-16T00:00:00" style="TimeSlicerStyleDark5"/>
</timeline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2:L1003"/>
  <sheetViews>
    <sheetView showGridLines="0" workbookViewId="0">
      <pane ySplit="3" topLeftCell="A5" activePane="bottomLeft" state="frozen"/>
      <selection pane="bottomLeft" activeCell="D13" sqref="D13"/>
    </sheetView>
  </sheetViews>
  <sheetFormatPr baseColWidth="10" defaultRowHeight="16" x14ac:dyDescent="0.2"/>
  <cols>
    <col min="1" max="1" width="19.1640625" style="13" customWidth="1"/>
    <col min="2" max="2" width="20.83203125" style="1" customWidth="1"/>
    <col min="3" max="3" width="23" style="1" customWidth="1"/>
    <col min="4" max="4" width="24" style="1" customWidth="1"/>
    <col min="5" max="5" width="20.1640625" style="43" customWidth="1"/>
    <col min="6" max="6" width="15.6640625" style="2" customWidth="1"/>
    <col min="7" max="7" width="20" style="44" customWidth="1"/>
    <col min="8" max="8" width="18.5" style="5" customWidth="1"/>
    <col min="9" max="9" width="15.6640625" style="9" customWidth="1"/>
    <col min="10" max="10" width="19.5" style="1" customWidth="1"/>
    <col min="11" max="11" width="19.33203125" style="7" customWidth="1"/>
    <col min="12" max="12" width="19.1640625" style="13" customWidth="1"/>
  </cols>
  <sheetData>
    <row r="2" spans="1:12" ht="28" customHeight="1" x14ac:dyDescent="0.2">
      <c r="A2" s="129" t="s">
        <v>0</v>
      </c>
      <c r="B2" s="130"/>
      <c r="C2" s="130"/>
      <c r="D2" s="130"/>
      <c r="E2" s="130"/>
      <c r="F2" s="130"/>
      <c r="G2" s="130"/>
      <c r="H2" s="130"/>
      <c r="I2" s="130"/>
      <c r="J2" s="130"/>
      <c r="K2" s="130"/>
      <c r="L2" s="130"/>
    </row>
    <row r="3" spans="1:12" s="11" customFormat="1" ht="35" customHeight="1" x14ac:dyDescent="0.2">
      <c r="A3" s="107" t="s">
        <v>1</v>
      </c>
      <c r="B3" s="108" t="s">
        <v>2</v>
      </c>
      <c r="C3" s="108" t="s">
        <v>3</v>
      </c>
      <c r="D3" s="108" t="s">
        <v>4</v>
      </c>
      <c r="E3" s="109" t="s">
        <v>5</v>
      </c>
      <c r="F3" s="110" t="s">
        <v>6</v>
      </c>
      <c r="G3" s="111" t="s">
        <v>7</v>
      </c>
      <c r="H3" s="119" t="s">
        <v>8</v>
      </c>
      <c r="I3" s="112" t="s">
        <v>9</v>
      </c>
      <c r="J3" s="108" t="s">
        <v>10</v>
      </c>
      <c r="K3" s="113" t="s">
        <v>11</v>
      </c>
      <c r="L3" s="114" t="s">
        <v>831</v>
      </c>
    </row>
    <row r="4" spans="1:12" ht="19" x14ac:dyDescent="0.25">
      <c r="A4" s="45">
        <v>285685083</v>
      </c>
      <c r="B4" s="46" t="s">
        <v>12</v>
      </c>
      <c r="C4" s="46" t="s">
        <v>13</v>
      </c>
      <c r="D4" s="46" t="s">
        <v>14</v>
      </c>
      <c r="E4" s="47">
        <v>24.74</v>
      </c>
      <c r="F4" s="48">
        <v>3</v>
      </c>
      <c r="G4" s="78">
        <f t="shared" ref="G4:G67" si="0">F4*E4</f>
        <v>74.22</v>
      </c>
      <c r="H4" s="120">
        <v>43511</v>
      </c>
      <c r="I4" s="50">
        <v>0.74097222222222225</v>
      </c>
      <c r="J4" s="46" t="s">
        <v>15</v>
      </c>
      <c r="K4" s="51">
        <v>10</v>
      </c>
      <c r="L4" s="122" t="str">
        <f>IF(AND(Tabla_Ventas[[#This Row],[VENTA TOTAL]]&gt;=30,Tabla_Ventas[[#This Row],[TIPO DE CLIENTE/ Customer type]]="Member"),"PARTICIPA","NO PARTICIPA")</f>
        <v>PARTICIPA</v>
      </c>
    </row>
    <row r="5" spans="1:12" ht="19" x14ac:dyDescent="0.25">
      <c r="A5" s="45">
        <v>347342234</v>
      </c>
      <c r="B5" s="46" t="s">
        <v>16</v>
      </c>
      <c r="C5" s="46" t="s">
        <v>13</v>
      </c>
      <c r="D5" s="46" t="s">
        <v>14</v>
      </c>
      <c r="E5" s="47">
        <v>55.07</v>
      </c>
      <c r="F5" s="48">
        <v>9</v>
      </c>
      <c r="G5" s="78">
        <f t="shared" si="0"/>
        <v>495.63</v>
      </c>
      <c r="H5" s="120">
        <v>43499</v>
      </c>
      <c r="I5" s="50">
        <v>0.56944444444444442</v>
      </c>
      <c r="J5" s="46" t="s">
        <v>17</v>
      </c>
      <c r="K5" s="51">
        <v>10</v>
      </c>
      <c r="L5" s="122" t="str">
        <f>IF(AND(Tabla_Ventas[[#This Row],[VENTA TOTAL]]&gt;=30,Tabla_Ventas[[#This Row],[TIPO DE CLIENTE/ Customer type]]="Member"),"PARTICIPA","NO PARTICIPA")</f>
        <v>PARTICIPA</v>
      </c>
    </row>
    <row r="6" spans="1:12" ht="19" x14ac:dyDescent="0.25">
      <c r="A6" s="45">
        <v>423572993</v>
      </c>
      <c r="B6" s="46" t="s">
        <v>16</v>
      </c>
      <c r="C6" s="46" t="s">
        <v>18</v>
      </c>
      <c r="D6" s="46" t="s">
        <v>14</v>
      </c>
      <c r="E6" s="47">
        <v>93.39</v>
      </c>
      <c r="F6" s="48">
        <v>6</v>
      </c>
      <c r="G6" s="78">
        <f t="shared" si="0"/>
        <v>560.34</v>
      </c>
      <c r="H6" s="120">
        <v>43551</v>
      </c>
      <c r="I6" s="50">
        <v>0.8041666666666667</v>
      </c>
      <c r="J6" s="46" t="s">
        <v>17</v>
      </c>
      <c r="K6" s="51">
        <v>10</v>
      </c>
      <c r="L6" s="122" t="str">
        <f>IF(AND(Tabla_Ventas[[#This Row],[VENTA TOTAL]]&gt;=30,Tabla_Ventas[[#This Row],[TIPO DE CLIENTE/ Customer type]]="Member"),"PARTICIPA","NO PARTICIPA")</f>
        <v>NO PARTICIPA</v>
      </c>
    </row>
    <row r="7" spans="1:12" ht="19" x14ac:dyDescent="0.25">
      <c r="A7" s="45">
        <v>725560833</v>
      </c>
      <c r="B7" s="46" t="s">
        <v>19</v>
      </c>
      <c r="C7" s="46" t="s">
        <v>18</v>
      </c>
      <c r="D7" s="46" t="s">
        <v>20</v>
      </c>
      <c r="E7" s="47">
        <v>32.32</v>
      </c>
      <c r="F7" s="48">
        <v>10</v>
      </c>
      <c r="G7" s="78">
        <f t="shared" si="0"/>
        <v>323.2</v>
      </c>
      <c r="H7" s="120">
        <v>43516</v>
      </c>
      <c r="I7" s="50">
        <v>0.7006944444444444</v>
      </c>
      <c r="J7" s="46" t="s">
        <v>15</v>
      </c>
      <c r="K7" s="51">
        <v>10</v>
      </c>
      <c r="L7" s="122" t="str">
        <f>IF(AND(Tabla_Ventas[[#This Row],[VENTA TOTAL]]&gt;=30,Tabla_Ventas[[#This Row],[TIPO DE CLIENTE/ Customer type]]="Member"),"PARTICIPA","NO PARTICIPA")</f>
        <v>NO PARTICIPA</v>
      </c>
    </row>
    <row r="8" spans="1:12" ht="19" x14ac:dyDescent="0.25">
      <c r="A8" s="45">
        <v>866702814</v>
      </c>
      <c r="B8" s="46" t="s">
        <v>12</v>
      </c>
      <c r="C8" s="46" t="s">
        <v>18</v>
      </c>
      <c r="D8" s="46" t="s">
        <v>21</v>
      </c>
      <c r="E8" s="49">
        <v>52.79</v>
      </c>
      <c r="F8" s="48">
        <v>10</v>
      </c>
      <c r="G8" s="78">
        <f t="shared" si="0"/>
        <v>527.9</v>
      </c>
      <c r="H8" s="120">
        <v>43521</v>
      </c>
      <c r="I8" s="50">
        <v>0.49861111111111112</v>
      </c>
      <c r="J8" s="46" t="s">
        <v>17</v>
      </c>
      <c r="K8" s="51">
        <v>10</v>
      </c>
      <c r="L8" s="122" t="str">
        <f>IF(AND(Tabla_Ventas[[#This Row],[VENTA TOTAL]]&gt;=30,Tabla_Ventas[[#This Row],[TIPO DE CLIENTE/ Customer type]]="Member"),"PARTICIPA","NO PARTICIPA")</f>
        <v>NO PARTICIPA</v>
      </c>
    </row>
    <row r="9" spans="1:12" ht="19" x14ac:dyDescent="0.25">
      <c r="A9" s="45">
        <v>636488204</v>
      </c>
      <c r="B9" s="46" t="s">
        <v>19</v>
      </c>
      <c r="C9" s="46" t="s">
        <v>18</v>
      </c>
      <c r="D9" s="46" t="s">
        <v>21</v>
      </c>
      <c r="E9" s="47">
        <v>34.56</v>
      </c>
      <c r="F9" s="48">
        <v>5</v>
      </c>
      <c r="G9" s="78">
        <f t="shared" si="0"/>
        <v>172.8</v>
      </c>
      <c r="H9" s="120">
        <v>43513</v>
      </c>
      <c r="I9" s="50">
        <v>0.46875</v>
      </c>
      <c r="J9" s="46" t="s">
        <v>17</v>
      </c>
      <c r="K9" s="51">
        <v>9.9</v>
      </c>
      <c r="L9" s="122" t="str">
        <f>IF(AND(Tabla_Ventas[[#This Row],[VENTA TOTAL]]&gt;=30,Tabla_Ventas[[#This Row],[TIPO DE CLIENTE/ Customer type]]="Member"),"PARTICIPA","NO PARTICIPA")</f>
        <v>NO PARTICIPA</v>
      </c>
    </row>
    <row r="10" spans="1:12" ht="19" x14ac:dyDescent="0.25">
      <c r="A10" s="45">
        <v>109282512</v>
      </c>
      <c r="B10" s="46" t="s">
        <v>16</v>
      </c>
      <c r="C10" s="46" t="s">
        <v>13</v>
      </c>
      <c r="D10" s="46" t="s">
        <v>22</v>
      </c>
      <c r="E10" s="47">
        <v>97.61</v>
      </c>
      <c r="F10" s="48">
        <v>6</v>
      </c>
      <c r="G10" s="78">
        <f t="shared" si="0"/>
        <v>585.66</v>
      </c>
      <c r="H10" s="120">
        <v>43472</v>
      </c>
      <c r="I10" s="50">
        <v>0.62569444444444444</v>
      </c>
      <c r="J10" s="46" t="s">
        <v>17</v>
      </c>
      <c r="K10" s="51">
        <v>9.9</v>
      </c>
      <c r="L10" s="122" t="str">
        <f>IF(AND(Tabla_Ventas[[#This Row],[VENTA TOTAL]]&gt;=30,Tabla_Ventas[[#This Row],[TIPO DE CLIENTE/ Customer type]]="Member"),"PARTICIPA","NO PARTICIPA")</f>
        <v>PARTICIPA</v>
      </c>
    </row>
    <row r="11" spans="1:12" ht="19" x14ac:dyDescent="0.25">
      <c r="A11" s="45">
        <v>362588315</v>
      </c>
      <c r="B11" s="46" t="s">
        <v>12</v>
      </c>
      <c r="C11" s="46" t="s">
        <v>18</v>
      </c>
      <c r="D11" s="46" t="s">
        <v>22</v>
      </c>
      <c r="E11" s="47">
        <v>76.52</v>
      </c>
      <c r="F11" s="48">
        <v>5</v>
      </c>
      <c r="G11" s="78">
        <f t="shared" si="0"/>
        <v>382.59999999999997</v>
      </c>
      <c r="H11" s="120">
        <v>43549</v>
      </c>
      <c r="I11" s="50">
        <v>0.43263888888888885</v>
      </c>
      <c r="J11" s="46" t="s">
        <v>23</v>
      </c>
      <c r="K11" s="51">
        <v>9.9</v>
      </c>
      <c r="L11" s="122" t="str">
        <f>IF(AND(Tabla_Ventas[[#This Row],[VENTA TOTAL]]&gt;=30,Tabla_Ventas[[#This Row],[TIPO DE CLIENTE/ Customer type]]="Member"),"PARTICIPA","NO PARTICIPA")</f>
        <v>NO PARTICIPA</v>
      </c>
    </row>
    <row r="12" spans="1:12" ht="19" x14ac:dyDescent="0.25">
      <c r="A12" s="45">
        <v>212621842</v>
      </c>
      <c r="B12" s="46" t="s">
        <v>19</v>
      </c>
      <c r="C12" s="46" t="s">
        <v>18</v>
      </c>
      <c r="D12" s="46" t="s">
        <v>24</v>
      </c>
      <c r="E12" s="47">
        <v>58.26</v>
      </c>
      <c r="F12" s="48">
        <v>6</v>
      </c>
      <c r="G12" s="78">
        <f t="shared" si="0"/>
        <v>349.56</v>
      </c>
      <c r="H12" s="120">
        <v>43552</v>
      </c>
      <c r="I12" s="50">
        <v>0.6972222222222223</v>
      </c>
      <c r="J12" s="46" t="s">
        <v>23</v>
      </c>
      <c r="K12" s="51">
        <v>9.9</v>
      </c>
      <c r="L12" s="122" t="str">
        <f>IF(AND(Tabla_Ventas[[#This Row],[VENTA TOTAL]]&gt;=30,Tabla_Ventas[[#This Row],[TIPO DE CLIENTE/ Customer type]]="Member"),"PARTICIPA","NO PARTICIPA")</f>
        <v>NO PARTICIPA</v>
      </c>
    </row>
    <row r="13" spans="1:12" ht="19" x14ac:dyDescent="0.25">
      <c r="A13" s="45">
        <v>214176927</v>
      </c>
      <c r="B13" s="46" t="s">
        <v>12</v>
      </c>
      <c r="C13" s="46" t="s">
        <v>18</v>
      </c>
      <c r="D13" s="46" t="s">
        <v>24</v>
      </c>
      <c r="E13" s="47">
        <v>16.48</v>
      </c>
      <c r="F13" s="48">
        <v>6</v>
      </c>
      <c r="G13" s="78">
        <f t="shared" si="0"/>
        <v>98.88</v>
      </c>
      <c r="H13" s="120">
        <v>43503</v>
      </c>
      <c r="I13" s="50">
        <v>0.76597222222222217</v>
      </c>
      <c r="J13" s="46" t="s">
        <v>17</v>
      </c>
      <c r="K13" s="51">
        <v>9.9</v>
      </c>
      <c r="L13" s="122" t="str">
        <f>IF(AND(Tabla_Ventas[[#This Row],[VENTA TOTAL]]&gt;=30,Tabla_Ventas[[#This Row],[TIPO DE CLIENTE/ Customer type]]="Member"),"PARTICIPA","NO PARTICIPA")</f>
        <v>NO PARTICIPA</v>
      </c>
    </row>
    <row r="14" spans="1:12" ht="19" x14ac:dyDescent="0.25">
      <c r="A14" s="45">
        <v>342654817</v>
      </c>
      <c r="B14" s="46" t="s">
        <v>12</v>
      </c>
      <c r="C14" s="46" t="s">
        <v>13</v>
      </c>
      <c r="D14" s="46" t="s">
        <v>20</v>
      </c>
      <c r="E14" s="47">
        <v>86.8</v>
      </c>
      <c r="F14" s="48">
        <v>3</v>
      </c>
      <c r="G14" s="78">
        <f t="shared" si="0"/>
        <v>260.39999999999998</v>
      </c>
      <c r="H14" s="120">
        <v>43493</v>
      </c>
      <c r="I14" s="50">
        <v>0.69930555555555562</v>
      </c>
      <c r="J14" s="46" t="s">
        <v>17</v>
      </c>
      <c r="K14" s="51">
        <v>9.9</v>
      </c>
      <c r="L14" s="122" t="str">
        <f>IF(AND(Tabla_Ventas[[#This Row],[VENTA TOTAL]]&gt;=30,Tabla_Ventas[[#This Row],[TIPO DE CLIENTE/ Customer type]]="Member"),"PARTICIPA","NO PARTICIPA")</f>
        <v>PARTICIPA</v>
      </c>
    </row>
    <row r="15" spans="1:12" ht="19" x14ac:dyDescent="0.25">
      <c r="A15" s="45">
        <v>400607251</v>
      </c>
      <c r="B15" s="46" t="s">
        <v>19</v>
      </c>
      <c r="C15" s="46" t="s">
        <v>18</v>
      </c>
      <c r="D15" s="46" t="s">
        <v>25</v>
      </c>
      <c r="E15" s="47">
        <v>74.069999999999993</v>
      </c>
      <c r="F15" s="48">
        <v>1</v>
      </c>
      <c r="G15" s="78">
        <f t="shared" si="0"/>
        <v>74.069999999999993</v>
      </c>
      <c r="H15" s="120">
        <v>43506</v>
      </c>
      <c r="I15" s="50">
        <v>0.53472222222222221</v>
      </c>
      <c r="J15" s="46" t="s">
        <v>17</v>
      </c>
      <c r="K15" s="51">
        <v>9.9</v>
      </c>
      <c r="L15" s="122" t="str">
        <f>IF(AND(Tabla_Ventas[[#This Row],[VENTA TOTAL]]&gt;=30,Tabla_Ventas[[#This Row],[TIPO DE CLIENTE/ Customer type]]="Member"),"PARTICIPA","NO PARTICIPA")</f>
        <v>NO PARTICIPA</v>
      </c>
    </row>
    <row r="16" spans="1:12" ht="19" x14ac:dyDescent="0.25">
      <c r="A16" s="45">
        <v>831076050</v>
      </c>
      <c r="B16" s="46" t="s">
        <v>19</v>
      </c>
      <c r="C16" s="46" t="s">
        <v>18</v>
      </c>
      <c r="D16" s="46" t="s">
        <v>21</v>
      </c>
      <c r="E16" s="47">
        <v>32.71</v>
      </c>
      <c r="F16" s="48">
        <v>5</v>
      </c>
      <c r="G16" s="78">
        <f t="shared" si="0"/>
        <v>163.55000000000001</v>
      </c>
      <c r="H16" s="120">
        <v>43543</v>
      </c>
      <c r="I16" s="50">
        <v>0.47916666666666669</v>
      </c>
      <c r="J16" s="46" t="s">
        <v>15</v>
      </c>
      <c r="K16" s="51">
        <v>9.9</v>
      </c>
      <c r="L16" s="122" t="str">
        <f>IF(AND(Tabla_Ventas[[#This Row],[VENTA TOTAL]]&gt;=30,Tabla_Ventas[[#This Row],[TIPO DE CLIENTE/ Customer type]]="Member"),"PARTICIPA","NO PARTICIPA")</f>
        <v>NO PARTICIPA</v>
      </c>
    </row>
    <row r="17" spans="1:12" ht="19" x14ac:dyDescent="0.25">
      <c r="A17" s="45">
        <v>201862184</v>
      </c>
      <c r="B17" s="46" t="s">
        <v>16</v>
      </c>
      <c r="C17" s="46" t="s">
        <v>13</v>
      </c>
      <c r="D17" s="46" t="s">
        <v>21</v>
      </c>
      <c r="E17" s="47">
        <v>26.26</v>
      </c>
      <c r="F17" s="48">
        <v>7</v>
      </c>
      <c r="G17" s="78">
        <f t="shared" si="0"/>
        <v>183.82000000000002</v>
      </c>
      <c r="H17" s="120">
        <v>43498</v>
      </c>
      <c r="I17" s="50">
        <v>0.81944444444444453</v>
      </c>
      <c r="J17" s="46" t="s">
        <v>23</v>
      </c>
      <c r="K17" s="51">
        <v>9.9</v>
      </c>
      <c r="L17" s="122" t="str">
        <f>IF(AND(Tabla_Ventas[[#This Row],[VENTA TOTAL]]&gt;=30,Tabla_Ventas[[#This Row],[TIPO DE CLIENTE/ Customer type]]="Member"),"PARTICIPA","NO PARTICIPA")</f>
        <v>PARTICIPA</v>
      </c>
    </row>
    <row r="18" spans="1:12" ht="19" x14ac:dyDescent="0.25">
      <c r="A18" s="45">
        <v>868527573</v>
      </c>
      <c r="B18" s="46" t="s">
        <v>16</v>
      </c>
      <c r="C18" s="46" t="s">
        <v>18</v>
      </c>
      <c r="D18" s="46" t="s">
        <v>24</v>
      </c>
      <c r="E18" s="47">
        <v>99.69</v>
      </c>
      <c r="F18" s="48">
        <v>5</v>
      </c>
      <c r="G18" s="78">
        <f t="shared" si="0"/>
        <v>498.45</v>
      </c>
      <c r="H18" s="120">
        <v>43479</v>
      </c>
      <c r="I18" s="50">
        <v>0.50624999999999998</v>
      </c>
      <c r="J18" s="46" t="s">
        <v>23</v>
      </c>
      <c r="K18" s="51">
        <v>9.9</v>
      </c>
      <c r="L18" s="122" t="str">
        <f>IF(AND(Tabla_Ventas[[#This Row],[VENTA TOTAL]]&gt;=30,Tabla_Ventas[[#This Row],[TIPO DE CLIENTE/ Customer type]]="Member"),"PARTICIPA","NO PARTICIPA")</f>
        <v>NO PARTICIPA</v>
      </c>
    </row>
    <row r="19" spans="1:12" ht="19" x14ac:dyDescent="0.25">
      <c r="A19" s="45">
        <v>662722873</v>
      </c>
      <c r="B19" s="46" t="s">
        <v>19</v>
      </c>
      <c r="C19" s="46" t="s">
        <v>18</v>
      </c>
      <c r="D19" s="46" t="s">
        <v>24</v>
      </c>
      <c r="E19" s="47">
        <v>40.94</v>
      </c>
      <c r="F19" s="48">
        <v>5</v>
      </c>
      <c r="G19" s="78">
        <f t="shared" si="0"/>
        <v>204.7</v>
      </c>
      <c r="H19" s="120">
        <v>43471</v>
      </c>
      <c r="I19" s="50">
        <v>0.58194444444444449</v>
      </c>
      <c r="J19" s="46" t="s">
        <v>17</v>
      </c>
      <c r="K19" s="51">
        <v>9.9</v>
      </c>
      <c r="L19" s="122" t="str">
        <f>IF(AND(Tabla_Ventas[[#This Row],[VENTA TOTAL]]&gt;=30,Tabla_Ventas[[#This Row],[TIPO DE CLIENTE/ Customer type]]="Member"),"PARTICIPA","NO PARTICIPA")</f>
        <v>NO PARTICIPA</v>
      </c>
    </row>
    <row r="20" spans="1:12" ht="19" x14ac:dyDescent="0.25">
      <c r="A20" s="45">
        <v>563474072</v>
      </c>
      <c r="B20" s="46" t="s">
        <v>12</v>
      </c>
      <c r="C20" s="46" t="s">
        <v>18</v>
      </c>
      <c r="D20" s="46" t="s">
        <v>20</v>
      </c>
      <c r="E20" s="49">
        <v>55.81</v>
      </c>
      <c r="F20" s="48">
        <v>6</v>
      </c>
      <c r="G20" s="78">
        <f t="shared" si="0"/>
        <v>334.86</v>
      </c>
      <c r="H20" s="120">
        <v>43487</v>
      </c>
      <c r="I20" s="50">
        <v>0.49444444444444446</v>
      </c>
      <c r="J20" s="46" t="s">
        <v>23</v>
      </c>
      <c r="K20" s="51">
        <v>9.9</v>
      </c>
      <c r="L20" s="122" t="str">
        <f>IF(AND(Tabla_Ventas[[#This Row],[VENTA TOTAL]]&gt;=30,Tabla_Ventas[[#This Row],[TIPO DE CLIENTE/ Customer type]]="Member"),"PARTICIPA","NO PARTICIPA")</f>
        <v>NO PARTICIPA</v>
      </c>
    </row>
    <row r="21" spans="1:12" ht="19" x14ac:dyDescent="0.25">
      <c r="A21" s="45">
        <v>641512661</v>
      </c>
      <c r="B21" s="46" t="s">
        <v>16</v>
      </c>
      <c r="C21" s="46" t="s">
        <v>13</v>
      </c>
      <c r="D21" s="46" t="s">
        <v>24</v>
      </c>
      <c r="E21" s="49">
        <v>87.1</v>
      </c>
      <c r="F21" s="48">
        <v>10</v>
      </c>
      <c r="G21" s="78">
        <f t="shared" si="0"/>
        <v>871</v>
      </c>
      <c r="H21" s="120">
        <v>43508</v>
      </c>
      <c r="I21" s="50">
        <v>0.61458333333333337</v>
      </c>
      <c r="J21" s="46" t="s">
        <v>15</v>
      </c>
      <c r="K21" s="51">
        <v>9.9</v>
      </c>
      <c r="L21" s="122" t="str">
        <f>IF(AND(Tabla_Ventas[[#This Row],[VENTA TOTAL]]&gt;=30,Tabla_Ventas[[#This Row],[TIPO DE CLIENTE/ Customer type]]="Member"),"PARTICIPA","NO PARTICIPA")</f>
        <v>PARTICIPA</v>
      </c>
    </row>
    <row r="22" spans="1:12" ht="19" x14ac:dyDescent="0.25">
      <c r="A22" s="45">
        <v>410671709</v>
      </c>
      <c r="B22" s="46" t="s">
        <v>19</v>
      </c>
      <c r="C22" s="46" t="s">
        <v>13</v>
      </c>
      <c r="D22" s="46" t="s">
        <v>22</v>
      </c>
      <c r="E22" s="49">
        <v>63.88</v>
      </c>
      <c r="F22" s="48">
        <v>8</v>
      </c>
      <c r="G22" s="78">
        <f t="shared" si="0"/>
        <v>511.04</v>
      </c>
      <c r="H22" s="120">
        <v>43485</v>
      </c>
      <c r="I22" s="50">
        <v>0.7416666666666667</v>
      </c>
      <c r="J22" s="46" t="s">
        <v>17</v>
      </c>
      <c r="K22" s="51">
        <v>9.9</v>
      </c>
      <c r="L22" s="122" t="str">
        <f>IF(AND(Tabla_Ventas[[#This Row],[VENTA TOTAL]]&gt;=30,Tabla_Ventas[[#This Row],[TIPO DE CLIENTE/ Customer type]]="Member"),"PARTICIPA","NO PARTICIPA")</f>
        <v>PARTICIPA</v>
      </c>
    </row>
    <row r="23" spans="1:12" ht="19" x14ac:dyDescent="0.25">
      <c r="A23" s="45">
        <v>166192553</v>
      </c>
      <c r="B23" s="46" t="s">
        <v>19</v>
      </c>
      <c r="C23" s="46" t="s">
        <v>13</v>
      </c>
      <c r="D23" s="46" t="s">
        <v>14</v>
      </c>
      <c r="E23" s="49">
        <v>89.06</v>
      </c>
      <c r="F23" s="48">
        <v>6</v>
      </c>
      <c r="G23" s="78">
        <f t="shared" si="0"/>
        <v>534.36</v>
      </c>
      <c r="H23" s="120">
        <v>43483</v>
      </c>
      <c r="I23" s="50">
        <v>0.72638888888888886</v>
      </c>
      <c r="J23" s="46" t="s">
        <v>23</v>
      </c>
      <c r="K23" s="51">
        <v>9.9</v>
      </c>
      <c r="L23" s="122" t="str">
        <f>IF(AND(Tabla_Ventas[[#This Row],[VENTA TOTAL]]&gt;=30,Tabla_Ventas[[#This Row],[TIPO DE CLIENTE/ Customer type]]="Member"),"PARTICIPA","NO PARTICIPA")</f>
        <v>PARTICIPA</v>
      </c>
    </row>
    <row r="24" spans="1:12" ht="19" x14ac:dyDescent="0.25">
      <c r="A24" s="45">
        <v>311136971</v>
      </c>
      <c r="B24" s="46" t="s">
        <v>12</v>
      </c>
      <c r="C24" s="46" t="s">
        <v>13</v>
      </c>
      <c r="D24" s="46" t="s">
        <v>14</v>
      </c>
      <c r="E24" s="49">
        <v>31.99</v>
      </c>
      <c r="F24" s="48">
        <v>10</v>
      </c>
      <c r="G24" s="78">
        <f t="shared" si="0"/>
        <v>319.89999999999998</v>
      </c>
      <c r="H24" s="120">
        <v>43516</v>
      </c>
      <c r="I24" s="50">
        <v>0.63750000000000007</v>
      </c>
      <c r="J24" s="46" t="s">
        <v>15</v>
      </c>
      <c r="K24" s="51">
        <v>9.9</v>
      </c>
      <c r="L24" s="122" t="str">
        <f>IF(AND(Tabla_Ventas[[#This Row],[VENTA TOTAL]]&gt;=30,Tabla_Ventas[[#This Row],[TIPO DE CLIENTE/ Customer type]]="Member"),"PARTICIPA","NO PARTICIPA")</f>
        <v>PARTICIPA</v>
      </c>
    </row>
    <row r="25" spans="1:12" ht="19" x14ac:dyDescent="0.25">
      <c r="A25" s="45">
        <v>354395160</v>
      </c>
      <c r="B25" s="46" t="s">
        <v>19</v>
      </c>
      <c r="C25" s="46" t="s">
        <v>13</v>
      </c>
      <c r="D25" s="46" t="s">
        <v>25</v>
      </c>
      <c r="E25" s="47">
        <v>34.42</v>
      </c>
      <c r="F25" s="48">
        <v>6</v>
      </c>
      <c r="G25" s="78">
        <f t="shared" si="0"/>
        <v>206.52</v>
      </c>
      <c r="H25" s="120">
        <v>43514</v>
      </c>
      <c r="I25" s="50">
        <v>0.65208333333333335</v>
      </c>
      <c r="J25" s="46" t="s">
        <v>23</v>
      </c>
      <c r="K25" s="51">
        <v>9.8000000000000007</v>
      </c>
      <c r="L25" s="122" t="str">
        <f>IF(AND(Tabla_Ventas[[#This Row],[VENTA TOTAL]]&gt;=30,Tabla_Ventas[[#This Row],[TIPO DE CLIENTE/ Customer type]]="Member"),"PARTICIPA","NO PARTICIPA")</f>
        <v>PARTICIPA</v>
      </c>
    </row>
    <row r="26" spans="1:12" ht="19" x14ac:dyDescent="0.25">
      <c r="A26" s="45">
        <v>608276295</v>
      </c>
      <c r="B26" s="46" t="s">
        <v>16</v>
      </c>
      <c r="C26" s="46" t="s">
        <v>13</v>
      </c>
      <c r="D26" s="46" t="s">
        <v>21</v>
      </c>
      <c r="E26" s="47">
        <v>52.89</v>
      </c>
      <c r="F26" s="48">
        <v>6</v>
      </c>
      <c r="G26" s="78">
        <f t="shared" si="0"/>
        <v>317.34000000000003</v>
      </c>
      <c r="H26" s="120">
        <v>43484</v>
      </c>
      <c r="I26" s="50">
        <v>0.7319444444444444</v>
      </c>
      <c r="J26" s="46" t="s">
        <v>15</v>
      </c>
      <c r="K26" s="51">
        <v>9.8000000000000007</v>
      </c>
      <c r="L26" s="122" t="str">
        <f>IF(AND(Tabla_Ventas[[#This Row],[VENTA TOTAL]]&gt;=30,Tabla_Ventas[[#This Row],[TIPO DE CLIENTE/ Customer type]]="Member"),"PARTICIPA","NO PARTICIPA")</f>
        <v>PARTICIPA</v>
      </c>
    </row>
    <row r="27" spans="1:12" ht="19" x14ac:dyDescent="0.25">
      <c r="A27" s="45">
        <v>426392418</v>
      </c>
      <c r="B27" s="46" t="s">
        <v>12</v>
      </c>
      <c r="C27" s="46" t="s">
        <v>18</v>
      </c>
      <c r="D27" s="46" t="s">
        <v>21</v>
      </c>
      <c r="E27" s="47">
        <v>61.41</v>
      </c>
      <c r="F27" s="48">
        <v>7</v>
      </c>
      <c r="G27" s="78">
        <f t="shared" si="0"/>
        <v>429.87</v>
      </c>
      <c r="H27" s="120">
        <v>43479</v>
      </c>
      <c r="I27" s="50">
        <v>0.41805555555555557</v>
      </c>
      <c r="J27" s="46" t="s">
        <v>23</v>
      </c>
      <c r="K27" s="51">
        <v>9.8000000000000007</v>
      </c>
      <c r="L27" s="122" t="str">
        <f>IF(AND(Tabla_Ventas[[#This Row],[VENTA TOTAL]]&gt;=30,Tabla_Ventas[[#This Row],[TIPO DE CLIENTE/ Customer type]]="Member"),"PARTICIPA","NO PARTICIPA")</f>
        <v>NO PARTICIPA</v>
      </c>
    </row>
    <row r="28" spans="1:12" ht="19" x14ac:dyDescent="0.25">
      <c r="A28" s="45">
        <v>372948041</v>
      </c>
      <c r="B28" s="46" t="s">
        <v>19</v>
      </c>
      <c r="C28" s="46" t="s">
        <v>18</v>
      </c>
      <c r="D28" s="46" t="s">
        <v>20</v>
      </c>
      <c r="E28" s="47">
        <v>15.26</v>
      </c>
      <c r="F28" s="48">
        <v>6</v>
      </c>
      <c r="G28" s="78">
        <f t="shared" si="0"/>
        <v>91.56</v>
      </c>
      <c r="H28" s="120">
        <v>43511</v>
      </c>
      <c r="I28" s="50">
        <v>0.75208333333333333</v>
      </c>
      <c r="J28" s="46" t="s">
        <v>17</v>
      </c>
      <c r="K28" s="51">
        <v>9.8000000000000007</v>
      </c>
      <c r="L28" s="122" t="str">
        <f>IF(AND(Tabla_Ventas[[#This Row],[VENTA TOTAL]]&gt;=30,Tabla_Ventas[[#This Row],[TIPO DE CLIENTE/ Customer type]]="Member"),"PARTICIPA","NO PARTICIPA")</f>
        <v>NO PARTICIPA</v>
      </c>
    </row>
    <row r="29" spans="1:12" ht="19" x14ac:dyDescent="0.25">
      <c r="A29" s="45">
        <v>236863015</v>
      </c>
      <c r="B29" s="46" t="s">
        <v>12</v>
      </c>
      <c r="C29" s="46" t="s">
        <v>13</v>
      </c>
      <c r="D29" s="46" t="s">
        <v>25</v>
      </c>
      <c r="E29" s="47">
        <v>13.98</v>
      </c>
      <c r="F29" s="48">
        <v>1</v>
      </c>
      <c r="G29" s="78">
        <f t="shared" si="0"/>
        <v>13.98</v>
      </c>
      <c r="H29" s="120">
        <v>43500</v>
      </c>
      <c r="I29" s="50">
        <v>0.56805555555555554</v>
      </c>
      <c r="J29" s="46" t="s">
        <v>17</v>
      </c>
      <c r="K29" s="51">
        <v>9.8000000000000007</v>
      </c>
      <c r="L29" s="122" t="str">
        <f>IF(AND(Tabla_Ventas[[#This Row],[VENTA TOTAL]]&gt;=30,Tabla_Ventas[[#This Row],[TIPO DE CLIENTE/ Customer type]]="Member"),"PARTICIPA","NO PARTICIPA")</f>
        <v>NO PARTICIPA</v>
      </c>
    </row>
    <row r="30" spans="1:12" ht="19" x14ac:dyDescent="0.25">
      <c r="A30" s="45">
        <v>740222500</v>
      </c>
      <c r="B30" s="46" t="s">
        <v>12</v>
      </c>
      <c r="C30" s="46" t="s">
        <v>18</v>
      </c>
      <c r="D30" s="46" t="s">
        <v>21</v>
      </c>
      <c r="E30" s="47">
        <v>84.05</v>
      </c>
      <c r="F30" s="48">
        <v>3</v>
      </c>
      <c r="G30" s="78">
        <f t="shared" si="0"/>
        <v>252.14999999999998</v>
      </c>
      <c r="H30" s="120">
        <v>43488</v>
      </c>
      <c r="I30" s="50">
        <v>0.56180555555555556</v>
      </c>
      <c r="J30" s="46" t="s">
        <v>23</v>
      </c>
      <c r="K30" s="51">
        <v>9.8000000000000007</v>
      </c>
      <c r="L30" s="122" t="str">
        <f>IF(AND(Tabla_Ventas[[#This Row],[VENTA TOTAL]]&gt;=30,Tabla_Ventas[[#This Row],[TIPO DE CLIENTE/ Customer type]]="Member"),"PARTICIPA","NO PARTICIPA")</f>
        <v>NO PARTICIPA</v>
      </c>
    </row>
    <row r="31" spans="1:12" ht="19" x14ac:dyDescent="0.25">
      <c r="A31" s="45">
        <v>627953243</v>
      </c>
      <c r="B31" s="46" t="s">
        <v>16</v>
      </c>
      <c r="C31" s="46" t="s">
        <v>13</v>
      </c>
      <c r="D31" s="46" t="s">
        <v>25</v>
      </c>
      <c r="E31" s="47">
        <v>77.680000000000007</v>
      </c>
      <c r="F31" s="48">
        <v>9</v>
      </c>
      <c r="G31" s="78">
        <f t="shared" si="0"/>
        <v>699.12000000000012</v>
      </c>
      <c r="H31" s="120">
        <v>43500</v>
      </c>
      <c r="I31" s="50">
        <v>0.55625000000000002</v>
      </c>
      <c r="J31" s="46" t="s">
        <v>17</v>
      </c>
      <c r="K31" s="51">
        <v>9.8000000000000007</v>
      </c>
      <c r="L31" s="122" t="str">
        <f>IF(AND(Tabla_Ventas[[#This Row],[VENTA TOTAL]]&gt;=30,Tabla_Ventas[[#This Row],[TIPO DE CLIENTE/ Customer type]]="Member"),"PARTICIPA","NO PARTICIPA")</f>
        <v>PARTICIPA</v>
      </c>
    </row>
    <row r="32" spans="1:12" ht="19" x14ac:dyDescent="0.25">
      <c r="A32" s="45">
        <v>726296793</v>
      </c>
      <c r="B32" s="46" t="s">
        <v>19</v>
      </c>
      <c r="C32" s="46" t="s">
        <v>13</v>
      </c>
      <c r="D32" s="46" t="s">
        <v>21</v>
      </c>
      <c r="E32" s="47">
        <v>24.18</v>
      </c>
      <c r="F32" s="48">
        <v>8</v>
      </c>
      <c r="G32" s="78">
        <f t="shared" si="0"/>
        <v>193.44</v>
      </c>
      <c r="H32" s="120">
        <v>43493</v>
      </c>
      <c r="I32" s="50">
        <v>0.87083333333333324</v>
      </c>
      <c r="J32" s="46" t="s">
        <v>17</v>
      </c>
      <c r="K32" s="51">
        <v>9.8000000000000007</v>
      </c>
      <c r="L32" s="122" t="str">
        <f>IF(AND(Tabla_Ventas[[#This Row],[VENTA TOTAL]]&gt;=30,Tabla_Ventas[[#This Row],[TIPO DE CLIENTE/ Customer type]]="Member"),"PARTICIPA","NO PARTICIPA")</f>
        <v>PARTICIPA</v>
      </c>
    </row>
    <row r="33" spans="1:12" ht="19" x14ac:dyDescent="0.25">
      <c r="A33" s="45">
        <v>425852085</v>
      </c>
      <c r="B33" s="46" t="s">
        <v>16</v>
      </c>
      <c r="C33" s="46" t="s">
        <v>13</v>
      </c>
      <c r="D33" s="46" t="s">
        <v>20</v>
      </c>
      <c r="E33" s="47">
        <v>54.86</v>
      </c>
      <c r="F33" s="48">
        <v>5</v>
      </c>
      <c r="G33" s="78">
        <f t="shared" si="0"/>
        <v>274.3</v>
      </c>
      <c r="H33" s="120">
        <v>43553</v>
      </c>
      <c r="I33" s="50">
        <v>0.70000000000000007</v>
      </c>
      <c r="J33" s="46" t="s">
        <v>17</v>
      </c>
      <c r="K33" s="51">
        <v>9.8000000000000007</v>
      </c>
      <c r="L33" s="122" t="str">
        <f>IF(AND(Tabla_Ventas[[#This Row],[VENTA TOTAL]]&gt;=30,Tabla_Ventas[[#This Row],[TIPO DE CLIENTE/ Customer type]]="Member"),"PARTICIPA","NO PARTICIPA")</f>
        <v>PARTICIPA</v>
      </c>
    </row>
    <row r="34" spans="1:12" ht="19" x14ac:dyDescent="0.25">
      <c r="A34" s="45">
        <v>127476963</v>
      </c>
      <c r="B34" s="46" t="s">
        <v>19</v>
      </c>
      <c r="C34" s="46" t="s">
        <v>18</v>
      </c>
      <c r="D34" s="46" t="s">
        <v>20</v>
      </c>
      <c r="E34" s="47">
        <v>51.71</v>
      </c>
      <c r="F34" s="48">
        <v>4</v>
      </c>
      <c r="G34" s="78">
        <f t="shared" si="0"/>
        <v>206.84</v>
      </c>
      <c r="H34" s="120">
        <v>43533</v>
      </c>
      <c r="I34" s="50">
        <v>0.57847222222222217</v>
      </c>
      <c r="J34" s="46" t="s">
        <v>15</v>
      </c>
      <c r="K34" s="51">
        <v>9.8000000000000007</v>
      </c>
      <c r="L34" s="122" t="str">
        <f>IF(AND(Tabla_Ventas[[#This Row],[VENTA TOTAL]]&gt;=30,Tabla_Ventas[[#This Row],[TIPO DE CLIENTE/ Customer type]]="Member"),"PARTICIPA","NO PARTICIPA")</f>
        <v>NO PARTICIPA</v>
      </c>
    </row>
    <row r="35" spans="1:12" ht="19" x14ac:dyDescent="0.25">
      <c r="A35" s="45">
        <v>560496611</v>
      </c>
      <c r="B35" s="46" t="s">
        <v>19</v>
      </c>
      <c r="C35" s="46" t="s">
        <v>13</v>
      </c>
      <c r="D35" s="46" t="s">
        <v>14</v>
      </c>
      <c r="E35" s="47">
        <v>45.58</v>
      </c>
      <c r="F35" s="48">
        <v>1</v>
      </c>
      <c r="G35" s="78">
        <f t="shared" si="0"/>
        <v>45.58</v>
      </c>
      <c r="H35" s="120">
        <v>43503</v>
      </c>
      <c r="I35" s="50">
        <v>0.59236111111111112</v>
      </c>
      <c r="J35" s="46" t="s">
        <v>23</v>
      </c>
      <c r="K35" s="51">
        <v>9.8000000000000007</v>
      </c>
      <c r="L35" s="122" t="str">
        <f>IF(AND(Tabla_Ventas[[#This Row],[VENTA TOTAL]]&gt;=30,Tabla_Ventas[[#This Row],[TIPO DE CLIENTE/ Customer type]]="Member"),"PARTICIPA","NO PARTICIPA")</f>
        <v>PARTICIPA</v>
      </c>
    </row>
    <row r="36" spans="1:12" ht="19" x14ac:dyDescent="0.25">
      <c r="A36" s="45">
        <v>436544512</v>
      </c>
      <c r="B36" s="46" t="s">
        <v>19</v>
      </c>
      <c r="C36" s="46" t="s">
        <v>13</v>
      </c>
      <c r="D36" s="46" t="s">
        <v>24</v>
      </c>
      <c r="E36" s="49">
        <v>91.61</v>
      </c>
      <c r="F36" s="48">
        <v>1</v>
      </c>
      <c r="G36" s="78">
        <f t="shared" si="0"/>
        <v>91.61</v>
      </c>
      <c r="H36" s="120">
        <v>43544</v>
      </c>
      <c r="I36" s="50">
        <v>0.8222222222222223</v>
      </c>
      <c r="J36" s="46" t="s">
        <v>23</v>
      </c>
      <c r="K36" s="51">
        <v>9.8000000000000007</v>
      </c>
      <c r="L36" s="122" t="str">
        <f>IF(AND(Tabla_Ventas[[#This Row],[VENTA TOTAL]]&gt;=30,Tabla_Ventas[[#This Row],[TIPO DE CLIENTE/ Customer type]]="Member"),"PARTICIPA","NO PARTICIPA")</f>
        <v>PARTICIPA</v>
      </c>
    </row>
    <row r="37" spans="1:12" ht="19" x14ac:dyDescent="0.25">
      <c r="A37" s="45">
        <v>805860265</v>
      </c>
      <c r="B37" s="46" t="s">
        <v>19</v>
      </c>
      <c r="C37" s="46" t="s">
        <v>18</v>
      </c>
      <c r="D37" s="46" t="s">
        <v>25</v>
      </c>
      <c r="E37" s="49">
        <v>93.96</v>
      </c>
      <c r="F37" s="48">
        <v>9</v>
      </c>
      <c r="G37" s="78">
        <f t="shared" si="0"/>
        <v>845.64</v>
      </c>
      <c r="H37" s="120">
        <v>43544</v>
      </c>
      <c r="I37" s="50">
        <v>0.48055555555555557</v>
      </c>
      <c r="J37" s="46" t="s">
        <v>23</v>
      </c>
      <c r="K37" s="51">
        <v>9.8000000000000007</v>
      </c>
      <c r="L37" s="122" t="str">
        <f>IF(AND(Tabla_Ventas[[#This Row],[VENTA TOTAL]]&gt;=30,Tabla_Ventas[[#This Row],[TIPO DE CLIENTE/ Customer type]]="Member"),"PARTICIPA","NO PARTICIPA")</f>
        <v>NO PARTICIPA</v>
      </c>
    </row>
    <row r="38" spans="1:12" ht="19" x14ac:dyDescent="0.25">
      <c r="A38" s="45">
        <v>801880346</v>
      </c>
      <c r="B38" s="46" t="s">
        <v>16</v>
      </c>
      <c r="C38" s="46" t="s">
        <v>18</v>
      </c>
      <c r="D38" s="46" t="s">
        <v>22</v>
      </c>
      <c r="E38" s="49">
        <v>76.06</v>
      </c>
      <c r="F38" s="48">
        <v>3</v>
      </c>
      <c r="G38" s="78">
        <f t="shared" si="0"/>
        <v>228.18</v>
      </c>
      <c r="H38" s="120">
        <v>43470</v>
      </c>
      <c r="I38" s="50">
        <v>0.85416666666666663</v>
      </c>
      <c r="J38" s="46" t="s">
        <v>15</v>
      </c>
      <c r="K38" s="51">
        <v>9.8000000000000007</v>
      </c>
      <c r="L38" s="122" t="str">
        <f>IF(AND(Tabla_Ventas[[#This Row],[VENTA TOTAL]]&gt;=30,Tabla_Ventas[[#This Row],[TIPO DE CLIENTE/ Customer type]]="Member"),"PARTICIPA","NO PARTICIPA")</f>
        <v>NO PARTICIPA</v>
      </c>
    </row>
    <row r="39" spans="1:12" ht="19" x14ac:dyDescent="0.25">
      <c r="A39" s="45">
        <v>359945395</v>
      </c>
      <c r="B39" s="46" t="s">
        <v>12</v>
      </c>
      <c r="C39" s="46" t="s">
        <v>18</v>
      </c>
      <c r="D39" s="46" t="s">
        <v>20</v>
      </c>
      <c r="E39" s="49">
        <v>92.78</v>
      </c>
      <c r="F39" s="48">
        <v>1</v>
      </c>
      <c r="G39" s="78">
        <f t="shared" si="0"/>
        <v>92.78</v>
      </c>
      <c r="H39" s="120">
        <v>43539</v>
      </c>
      <c r="I39" s="50">
        <v>0.4513888888888889</v>
      </c>
      <c r="J39" s="46" t="s">
        <v>15</v>
      </c>
      <c r="K39" s="51">
        <v>9.8000000000000007</v>
      </c>
      <c r="L39" s="122" t="str">
        <f>IF(AND(Tabla_Ventas[[#This Row],[VENTA TOTAL]]&gt;=30,Tabla_Ventas[[#This Row],[TIPO DE CLIENTE/ Customer type]]="Member"),"PARTICIPA","NO PARTICIPA")</f>
        <v>NO PARTICIPA</v>
      </c>
    </row>
    <row r="40" spans="1:12" ht="19" x14ac:dyDescent="0.25">
      <c r="A40" s="45">
        <v>501611753</v>
      </c>
      <c r="B40" s="46" t="s">
        <v>12</v>
      </c>
      <c r="C40" s="46" t="s">
        <v>18</v>
      </c>
      <c r="D40" s="46" t="s">
        <v>25</v>
      </c>
      <c r="E40" s="49">
        <v>63.15</v>
      </c>
      <c r="F40" s="48">
        <v>6</v>
      </c>
      <c r="G40" s="78">
        <f t="shared" si="0"/>
        <v>378.9</v>
      </c>
      <c r="H40" s="120">
        <v>43468</v>
      </c>
      <c r="I40" s="50">
        <v>0.85</v>
      </c>
      <c r="J40" s="46" t="s">
        <v>17</v>
      </c>
      <c r="K40" s="51">
        <v>9.8000000000000007</v>
      </c>
      <c r="L40" s="122" t="str">
        <f>IF(AND(Tabla_Ventas[[#This Row],[VENTA TOTAL]]&gt;=30,Tabla_Ventas[[#This Row],[TIPO DE CLIENTE/ Customer type]]="Member"),"PARTICIPA","NO PARTICIPA")</f>
        <v>NO PARTICIPA</v>
      </c>
    </row>
    <row r="41" spans="1:12" ht="19" x14ac:dyDescent="0.25">
      <c r="A41" s="45">
        <v>256583609</v>
      </c>
      <c r="B41" s="46" t="s">
        <v>16</v>
      </c>
      <c r="C41" s="46" t="s">
        <v>13</v>
      </c>
      <c r="D41" s="46" t="s">
        <v>22</v>
      </c>
      <c r="E41" s="49">
        <v>91.98</v>
      </c>
      <c r="F41" s="48">
        <v>1</v>
      </c>
      <c r="G41" s="78">
        <f t="shared" si="0"/>
        <v>91.98</v>
      </c>
      <c r="H41" s="120">
        <v>43542</v>
      </c>
      <c r="I41" s="50">
        <v>0.64513888888888882</v>
      </c>
      <c r="J41" s="46" t="s">
        <v>23</v>
      </c>
      <c r="K41" s="51">
        <v>9.8000000000000007</v>
      </c>
      <c r="L41" s="122" t="str">
        <f>IF(AND(Tabla_Ventas[[#This Row],[VENTA TOTAL]]&gt;=30,Tabla_Ventas[[#This Row],[TIPO DE CLIENTE/ Customer type]]="Member"),"PARTICIPA","NO PARTICIPA")</f>
        <v>PARTICIPA</v>
      </c>
    </row>
    <row r="42" spans="1:12" ht="19" x14ac:dyDescent="0.25">
      <c r="A42" s="45">
        <v>324923863</v>
      </c>
      <c r="B42" s="46" t="s">
        <v>19</v>
      </c>
      <c r="C42" s="46" t="s">
        <v>13</v>
      </c>
      <c r="D42" s="46" t="s">
        <v>21</v>
      </c>
      <c r="E42" s="49">
        <v>20.89</v>
      </c>
      <c r="F42" s="48">
        <v>2</v>
      </c>
      <c r="G42" s="78">
        <f t="shared" si="0"/>
        <v>41.78</v>
      </c>
      <c r="H42" s="120">
        <v>43501</v>
      </c>
      <c r="I42" s="50">
        <v>0.78125</v>
      </c>
      <c r="J42" s="46" t="s">
        <v>23</v>
      </c>
      <c r="K42" s="51">
        <v>9.8000000000000007</v>
      </c>
      <c r="L42" s="122" t="str">
        <f>IF(AND(Tabla_Ventas[[#This Row],[VENTA TOTAL]]&gt;=30,Tabla_Ventas[[#This Row],[TIPO DE CLIENTE/ Customer type]]="Member"),"PARTICIPA","NO PARTICIPA")</f>
        <v>PARTICIPA</v>
      </c>
    </row>
    <row r="43" spans="1:12" ht="19" x14ac:dyDescent="0.25">
      <c r="A43" s="45">
        <v>728479078</v>
      </c>
      <c r="B43" s="46" t="s">
        <v>16</v>
      </c>
      <c r="C43" s="46" t="s">
        <v>13</v>
      </c>
      <c r="D43" s="46" t="s">
        <v>24</v>
      </c>
      <c r="E43" s="49">
        <v>59.59</v>
      </c>
      <c r="F43" s="48">
        <v>4</v>
      </c>
      <c r="G43" s="78">
        <f t="shared" si="0"/>
        <v>238.36</v>
      </c>
      <c r="H43" s="120">
        <v>43484</v>
      </c>
      <c r="I43" s="50">
        <v>0.53194444444444444</v>
      </c>
      <c r="J43" s="46" t="s">
        <v>23</v>
      </c>
      <c r="K43" s="51">
        <v>9.8000000000000007</v>
      </c>
      <c r="L43" s="122" t="str">
        <f>IF(AND(Tabla_Ventas[[#This Row],[VENTA TOTAL]]&gt;=30,Tabla_Ventas[[#This Row],[TIPO DE CLIENTE/ Customer type]]="Member"),"PARTICIPA","NO PARTICIPA")</f>
        <v>PARTICIPA</v>
      </c>
    </row>
    <row r="44" spans="1:12" ht="19" x14ac:dyDescent="0.25">
      <c r="A44" s="45">
        <v>307852293</v>
      </c>
      <c r="B44" s="46" t="s">
        <v>16</v>
      </c>
      <c r="C44" s="46" t="s">
        <v>18</v>
      </c>
      <c r="D44" s="46" t="s">
        <v>25</v>
      </c>
      <c r="E44" s="47">
        <v>50.28</v>
      </c>
      <c r="F44" s="48">
        <v>5</v>
      </c>
      <c r="G44" s="78">
        <f t="shared" si="0"/>
        <v>251.4</v>
      </c>
      <c r="H44" s="120">
        <v>43531</v>
      </c>
      <c r="I44" s="50">
        <v>0.58194444444444449</v>
      </c>
      <c r="J44" s="46" t="s">
        <v>17</v>
      </c>
      <c r="K44" s="51">
        <v>9.6999999999999993</v>
      </c>
      <c r="L44" s="122" t="str">
        <f>IF(AND(Tabla_Ventas[[#This Row],[VENTA TOTAL]]&gt;=30,Tabla_Ventas[[#This Row],[TIPO DE CLIENTE/ Customer type]]="Member"),"PARTICIPA","NO PARTICIPA")</f>
        <v>NO PARTICIPA</v>
      </c>
    </row>
    <row r="45" spans="1:12" ht="19" x14ac:dyDescent="0.25">
      <c r="A45" s="45">
        <v>672518681</v>
      </c>
      <c r="B45" s="46" t="s">
        <v>12</v>
      </c>
      <c r="C45" s="46" t="s">
        <v>13</v>
      </c>
      <c r="D45" s="46" t="s">
        <v>21</v>
      </c>
      <c r="E45" s="47">
        <v>66.650000000000006</v>
      </c>
      <c r="F45" s="48">
        <v>9</v>
      </c>
      <c r="G45" s="78">
        <f t="shared" si="0"/>
        <v>599.85</v>
      </c>
      <c r="H45" s="120">
        <v>43556</v>
      </c>
      <c r="I45" s="50">
        <v>0.7631944444444444</v>
      </c>
      <c r="J45" s="46" t="s">
        <v>15</v>
      </c>
      <c r="K45" s="51">
        <v>9.6999999999999993</v>
      </c>
      <c r="L45" s="122" t="str">
        <f>IF(AND(Tabla_Ventas[[#This Row],[VENTA TOTAL]]&gt;=30,Tabla_Ventas[[#This Row],[TIPO DE CLIENTE/ Customer type]]="Member"),"PARTICIPA","NO PARTICIPA")</f>
        <v>PARTICIPA</v>
      </c>
    </row>
    <row r="46" spans="1:12" ht="19" x14ac:dyDescent="0.25">
      <c r="A46" s="45">
        <v>746686593</v>
      </c>
      <c r="B46" s="46" t="s">
        <v>12</v>
      </c>
      <c r="C46" s="46" t="s">
        <v>13</v>
      </c>
      <c r="D46" s="46" t="s">
        <v>14</v>
      </c>
      <c r="E46" s="47">
        <v>87.16</v>
      </c>
      <c r="F46" s="48">
        <v>2</v>
      </c>
      <c r="G46" s="78">
        <f t="shared" si="0"/>
        <v>174.32</v>
      </c>
      <c r="H46" s="120">
        <v>43770</v>
      </c>
      <c r="I46" s="50">
        <v>0.60347222222222219</v>
      </c>
      <c r="J46" s="46" t="s">
        <v>15</v>
      </c>
      <c r="K46" s="51">
        <v>9.6999999999999993</v>
      </c>
      <c r="L46" s="122" t="str">
        <f>IF(AND(Tabla_Ventas[[#This Row],[VENTA TOTAL]]&gt;=30,Tabla_Ventas[[#This Row],[TIPO DE CLIENTE/ Customer type]]="Member"),"PARTICIPA","NO PARTICIPA")</f>
        <v>PARTICIPA</v>
      </c>
    </row>
    <row r="47" spans="1:12" ht="19" x14ac:dyDescent="0.25">
      <c r="A47" s="45">
        <v>583721480</v>
      </c>
      <c r="B47" s="46" t="s">
        <v>12</v>
      </c>
      <c r="C47" s="46" t="s">
        <v>13</v>
      </c>
      <c r="D47" s="46" t="s">
        <v>21</v>
      </c>
      <c r="E47" s="47">
        <v>37.06</v>
      </c>
      <c r="F47" s="48">
        <v>4</v>
      </c>
      <c r="G47" s="78">
        <f t="shared" si="0"/>
        <v>148.24</v>
      </c>
      <c r="H47" s="120">
        <v>43496</v>
      </c>
      <c r="I47" s="50">
        <v>0.68333333333333324</v>
      </c>
      <c r="J47" s="46" t="s">
        <v>17</v>
      </c>
      <c r="K47" s="51">
        <v>9.6999999999999993</v>
      </c>
      <c r="L47" s="122" t="str">
        <f>IF(AND(Tabla_Ventas[[#This Row],[VENTA TOTAL]]&gt;=30,Tabla_Ventas[[#This Row],[TIPO DE CLIENTE/ Customer type]]="Member"),"PARTICIPA","NO PARTICIPA")</f>
        <v>PARTICIPA</v>
      </c>
    </row>
    <row r="48" spans="1:12" ht="19" x14ac:dyDescent="0.25">
      <c r="A48" s="45">
        <v>366930948</v>
      </c>
      <c r="B48" s="46" t="s">
        <v>19</v>
      </c>
      <c r="C48" s="46" t="s">
        <v>13</v>
      </c>
      <c r="D48" s="46" t="s">
        <v>21</v>
      </c>
      <c r="E48" s="47">
        <v>66.349999999999994</v>
      </c>
      <c r="F48" s="48">
        <v>1</v>
      </c>
      <c r="G48" s="78">
        <f t="shared" si="0"/>
        <v>66.349999999999994</v>
      </c>
      <c r="H48" s="120">
        <v>43496</v>
      </c>
      <c r="I48" s="50">
        <v>0.44861111111111113</v>
      </c>
      <c r="J48" s="46" t="s">
        <v>15</v>
      </c>
      <c r="K48" s="51">
        <v>9.6999999999999993</v>
      </c>
      <c r="L48" s="122" t="str">
        <f>IF(AND(Tabla_Ventas[[#This Row],[VENTA TOTAL]]&gt;=30,Tabla_Ventas[[#This Row],[TIPO DE CLIENTE/ Customer type]]="Member"),"PARTICIPA","NO PARTICIPA")</f>
        <v>PARTICIPA</v>
      </c>
    </row>
    <row r="49" spans="1:12" ht="19" x14ac:dyDescent="0.25">
      <c r="A49" s="45">
        <v>687151097</v>
      </c>
      <c r="B49" s="46" t="s">
        <v>12</v>
      </c>
      <c r="C49" s="46" t="s">
        <v>13</v>
      </c>
      <c r="D49" s="46" t="s">
        <v>20</v>
      </c>
      <c r="E49" s="47">
        <v>21.12</v>
      </c>
      <c r="F49" s="48">
        <v>2</v>
      </c>
      <c r="G49" s="78">
        <f t="shared" si="0"/>
        <v>42.24</v>
      </c>
      <c r="H49" s="120">
        <v>43468</v>
      </c>
      <c r="I49" s="50">
        <v>0.80347222222222225</v>
      </c>
      <c r="J49" s="46" t="s">
        <v>23</v>
      </c>
      <c r="K49" s="51">
        <v>9.6999999999999993</v>
      </c>
      <c r="L49" s="122" t="str">
        <f>IF(AND(Tabla_Ventas[[#This Row],[VENTA TOTAL]]&gt;=30,Tabla_Ventas[[#This Row],[TIPO DE CLIENTE/ Customer type]]="Member"),"PARTICIPA","NO PARTICIPA")</f>
        <v>PARTICIPA</v>
      </c>
    </row>
    <row r="50" spans="1:12" ht="19" x14ac:dyDescent="0.25">
      <c r="A50" s="45">
        <v>181946432</v>
      </c>
      <c r="B50" s="46" t="s">
        <v>12</v>
      </c>
      <c r="C50" s="46" t="s">
        <v>13</v>
      </c>
      <c r="D50" s="46" t="s">
        <v>22</v>
      </c>
      <c r="E50" s="47">
        <v>69.33</v>
      </c>
      <c r="F50" s="48">
        <v>2</v>
      </c>
      <c r="G50" s="78">
        <f t="shared" si="0"/>
        <v>138.66</v>
      </c>
      <c r="H50" s="120">
        <v>43587</v>
      </c>
      <c r="I50" s="50">
        <v>0.79513888888888884</v>
      </c>
      <c r="J50" s="46" t="s">
        <v>17</v>
      </c>
      <c r="K50" s="51">
        <v>9.6999999999999993</v>
      </c>
      <c r="L50" s="122" t="str">
        <f>IF(AND(Tabla_Ventas[[#This Row],[VENTA TOTAL]]&gt;=30,Tabla_Ventas[[#This Row],[TIPO DE CLIENTE/ Customer type]]="Member"),"PARTICIPA","NO PARTICIPA")</f>
        <v>PARTICIPA</v>
      </c>
    </row>
    <row r="51" spans="1:12" ht="19" x14ac:dyDescent="0.25">
      <c r="A51" s="45">
        <v>173829529</v>
      </c>
      <c r="B51" s="46" t="s">
        <v>16</v>
      </c>
      <c r="C51" s="46" t="s">
        <v>18</v>
      </c>
      <c r="D51" s="46" t="s">
        <v>22</v>
      </c>
      <c r="E51" s="47">
        <v>37.950000000000003</v>
      </c>
      <c r="F51" s="48">
        <v>10</v>
      </c>
      <c r="G51" s="78">
        <f t="shared" si="0"/>
        <v>379.5</v>
      </c>
      <c r="H51" s="120">
        <v>43491</v>
      </c>
      <c r="I51" s="50">
        <v>0.61875000000000002</v>
      </c>
      <c r="J51" s="46" t="s">
        <v>23</v>
      </c>
      <c r="K51" s="51">
        <v>9.6999999999999993</v>
      </c>
      <c r="L51" s="122" t="str">
        <f>IF(AND(Tabla_Ventas[[#This Row],[VENTA TOTAL]]&gt;=30,Tabla_Ventas[[#This Row],[TIPO DE CLIENTE/ Customer type]]="Member"),"PARTICIPA","NO PARTICIPA")</f>
        <v>NO PARTICIPA</v>
      </c>
    </row>
    <row r="52" spans="1:12" ht="19" x14ac:dyDescent="0.25">
      <c r="A52" s="45">
        <v>301119629</v>
      </c>
      <c r="B52" s="46" t="s">
        <v>19</v>
      </c>
      <c r="C52" s="46" t="s">
        <v>18</v>
      </c>
      <c r="D52" s="46" t="s">
        <v>14</v>
      </c>
      <c r="E52" s="47">
        <v>19.100000000000001</v>
      </c>
      <c r="F52" s="48">
        <v>7</v>
      </c>
      <c r="G52" s="78">
        <f t="shared" si="0"/>
        <v>133.70000000000002</v>
      </c>
      <c r="H52" s="120">
        <v>43480</v>
      </c>
      <c r="I52" s="50">
        <v>0.4465277777777778</v>
      </c>
      <c r="J52" s="46" t="s">
        <v>23</v>
      </c>
      <c r="K52" s="51">
        <v>9.6999999999999993</v>
      </c>
      <c r="L52" s="122" t="str">
        <f>IF(AND(Tabla_Ventas[[#This Row],[VENTA TOTAL]]&gt;=30,Tabla_Ventas[[#This Row],[TIPO DE CLIENTE/ Customer type]]="Member"),"PARTICIPA","NO PARTICIPA")</f>
        <v>NO PARTICIPA</v>
      </c>
    </row>
    <row r="53" spans="1:12" ht="19" x14ac:dyDescent="0.25">
      <c r="A53" s="45">
        <v>340219136</v>
      </c>
      <c r="B53" s="46" t="s">
        <v>19</v>
      </c>
      <c r="C53" s="46" t="s">
        <v>13</v>
      </c>
      <c r="D53" s="46" t="s">
        <v>14</v>
      </c>
      <c r="E53" s="47">
        <v>40.049999999999997</v>
      </c>
      <c r="F53" s="48">
        <v>4</v>
      </c>
      <c r="G53" s="78">
        <f t="shared" si="0"/>
        <v>160.19999999999999</v>
      </c>
      <c r="H53" s="120">
        <v>43490</v>
      </c>
      <c r="I53" s="50">
        <v>0.4861111111111111</v>
      </c>
      <c r="J53" s="46" t="s">
        <v>23</v>
      </c>
      <c r="K53" s="51">
        <v>9.6999999999999993</v>
      </c>
      <c r="L53" s="122" t="str">
        <f>IF(AND(Tabla_Ventas[[#This Row],[VENTA TOTAL]]&gt;=30,Tabla_Ventas[[#This Row],[TIPO DE CLIENTE/ Customer type]]="Member"),"PARTICIPA","NO PARTICIPA")</f>
        <v>PARTICIPA</v>
      </c>
    </row>
    <row r="54" spans="1:12" ht="19" x14ac:dyDescent="0.25">
      <c r="A54" s="45">
        <v>220281851</v>
      </c>
      <c r="B54" s="46" t="s">
        <v>19</v>
      </c>
      <c r="C54" s="46" t="s">
        <v>18</v>
      </c>
      <c r="D54" s="46" t="s">
        <v>25</v>
      </c>
      <c r="E54" s="47">
        <v>34.729999999999997</v>
      </c>
      <c r="F54" s="48">
        <v>2</v>
      </c>
      <c r="G54" s="78">
        <f t="shared" si="0"/>
        <v>69.459999999999994</v>
      </c>
      <c r="H54" s="120">
        <v>43468</v>
      </c>
      <c r="I54" s="50">
        <v>0.7597222222222223</v>
      </c>
      <c r="J54" s="46" t="s">
        <v>17</v>
      </c>
      <c r="K54" s="51">
        <v>9.6999999999999993</v>
      </c>
      <c r="L54" s="122" t="str">
        <f>IF(AND(Tabla_Ventas[[#This Row],[VENTA TOTAL]]&gt;=30,Tabla_Ventas[[#This Row],[TIPO DE CLIENTE/ Customer type]]="Member"),"PARTICIPA","NO PARTICIPA")</f>
        <v>NO PARTICIPA</v>
      </c>
    </row>
    <row r="55" spans="1:12" ht="19" x14ac:dyDescent="0.25">
      <c r="A55" s="45">
        <v>210571719</v>
      </c>
      <c r="B55" s="46" t="s">
        <v>16</v>
      </c>
      <c r="C55" s="46" t="s">
        <v>18</v>
      </c>
      <c r="D55" s="46" t="s">
        <v>20</v>
      </c>
      <c r="E55" s="47">
        <v>58.24</v>
      </c>
      <c r="F55" s="48">
        <v>9</v>
      </c>
      <c r="G55" s="78">
        <f t="shared" si="0"/>
        <v>524.16</v>
      </c>
      <c r="H55" s="120">
        <v>43587</v>
      </c>
      <c r="I55" s="50">
        <v>0.52361111111111114</v>
      </c>
      <c r="J55" s="46" t="s">
        <v>23</v>
      </c>
      <c r="K55" s="51">
        <v>9.6999999999999993</v>
      </c>
      <c r="L55" s="122" t="str">
        <f>IF(AND(Tabla_Ventas[[#This Row],[VENTA TOTAL]]&gt;=30,Tabla_Ventas[[#This Row],[TIPO DE CLIENTE/ Customer type]]="Member"),"PARTICIPA","NO PARTICIPA")</f>
        <v>NO PARTICIPA</v>
      </c>
    </row>
    <row r="56" spans="1:12" ht="19" x14ac:dyDescent="0.25">
      <c r="A56" s="45">
        <v>497376538</v>
      </c>
      <c r="B56" s="46" t="s">
        <v>19</v>
      </c>
      <c r="C56" s="46" t="s">
        <v>18</v>
      </c>
      <c r="D56" s="46" t="s">
        <v>14</v>
      </c>
      <c r="E56" s="49">
        <v>58.91</v>
      </c>
      <c r="F56" s="48">
        <v>7</v>
      </c>
      <c r="G56" s="78">
        <f t="shared" si="0"/>
        <v>412.37</v>
      </c>
      <c r="H56" s="120">
        <v>43482</v>
      </c>
      <c r="I56" s="50">
        <v>0.63541666666666663</v>
      </c>
      <c r="J56" s="46" t="s">
        <v>17</v>
      </c>
      <c r="K56" s="51">
        <v>9.6999999999999993</v>
      </c>
      <c r="L56" s="122" t="str">
        <f>IF(AND(Tabla_Ventas[[#This Row],[VENTA TOTAL]]&gt;=30,Tabla_Ventas[[#This Row],[TIPO DE CLIENTE/ Customer type]]="Member"),"PARTICIPA","NO PARTICIPA")</f>
        <v>NO PARTICIPA</v>
      </c>
    </row>
    <row r="57" spans="1:12" ht="19" x14ac:dyDescent="0.25">
      <c r="A57" s="45">
        <v>585900249</v>
      </c>
      <c r="B57" s="46" t="s">
        <v>19</v>
      </c>
      <c r="C57" s="46" t="s">
        <v>13</v>
      </c>
      <c r="D57" s="46" t="s">
        <v>21</v>
      </c>
      <c r="E57" s="49">
        <v>73.260000000000005</v>
      </c>
      <c r="F57" s="48">
        <v>1</v>
      </c>
      <c r="G57" s="78">
        <f t="shared" si="0"/>
        <v>73.260000000000005</v>
      </c>
      <c r="H57" s="120">
        <v>43492</v>
      </c>
      <c r="I57" s="50">
        <v>0.75555555555555554</v>
      </c>
      <c r="J57" s="46" t="s">
        <v>17</v>
      </c>
      <c r="K57" s="51">
        <v>9.6999999999999993</v>
      </c>
      <c r="L57" s="122" t="str">
        <f>IF(AND(Tabla_Ventas[[#This Row],[VENTA TOTAL]]&gt;=30,Tabla_Ventas[[#This Row],[TIPO DE CLIENTE/ Customer type]]="Member"),"PARTICIPA","NO PARTICIPA")</f>
        <v>PARTICIPA</v>
      </c>
    </row>
    <row r="58" spans="1:12" ht="19" x14ac:dyDescent="0.25">
      <c r="A58" s="45">
        <v>226313081</v>
      </c>
      <c r="B58" s="46" t="s">
        <v>12</v>
      </c>
      <c r="C58" s="46" t="s">
        <v>18</v>
      </c>
      <c r="D58" s="46" t="s">
        <v>21</v>
      </c>
      <c r="E58" s="47">
        <v>15.28</v>
      </c>
      <c r="F58" s="48">
        <v>5</v>
      </c>
      <c r="G58" s="78">
        <f t="shared" si="0"/>
        <v>76.399999999999991</v>
      </c>
      <c r="H58" s="120">
        <v>43532</v>
      </c>
      <c r="I58" s="50">
        <v>0.4368055555555555</v>
      </c>
      <c r="J58" s="46" t="s">
        <v>23</v>
      </c>
      <c r="K58" s="51">
        <v>9.6</v>
      </c>
      <c r="L58" s="122" t="str">
        <f>IF(AND(Tabla_Ventas[[#This Row],[VENTA TOTAL]]&gt;=30,Tabla_Ventas[[#This Row],[TIPO DE CLIENTE/ Customer type]]="Member"),"PARTICIPA","NO PARTICIPA")</f>
        <v>NO PARTICIPA</v>
      </c>
    </row>
    <row r="59" spans="1:12" ht="19" x14ac:dyDescent="0.25">
      <c r="A59" s="45">
        <v>145949061</v>
      </c>
      <c r="B59" s="46" t="s">
        <v>16</v>
      </c>
      <c r="C59" s="46" t="s">
        <v>18</v>
      </c>
      <c r="D59" s="46" t="s">
        <v>24</v>
      </c>
      <c r="E59" s="47">
        <v>88.36</v>
      </c>
      <c r="F59" s="48">
        <v>5</v>
      </c>
      <c r="G59" s="78">
        <f t="shared" si="0"/>
        <v>441.8</v>
      </c>
      <c r="H59" s="120">
        <v>43490</v>
      </c>
      <c r="I59" s="50">
        <v>0.82500000000000007</v>
      </c>
      <c r="J59" s="46" t="s">
        <v>23</v>
      </c>
      <c r="K59" s="51">
        <v>9.6</v>
      </c>
      <c r="L59" s="122" t="str">
        <f>IF(AND(Tabla_Ventas[[#This Row],[VENTA TOTAL]]&gt;=30,Tabla_Ventas[[#This Row],[TIPO DE CLIENTE/ Customer type]]="Member"),"PARTICIPA","NO PARTICIPA")</f>
        <v>NO PARTICIPA</v>
      </c>
    </row>
    <row r="60" spans="1:12" ht="19" x14ac:dyDescent="0.25">
      <c r="A60" s="45">
        <v>393652792</v>
      </c>
      <c r="B60" s="46" t="s">
        <v>12</v>
      </c>
      <c r="C60" s="46" t="s">
        <v>18</v>
      </c>
      <c r="D60" s="46" t="s">
        <v>24</v>
      </c>
      <c r="E60" s="47">
        <v>89.48</v>
      </c>
      <c r="F60" s="48">
        <v>10</v>
      </c>
      <c r="G60" s="78">
        <f t="shared" si="0"/>
        <v>894.80000000000007</v>
      </c>
      <c r="H60" s="120">
        <v>43471</v>
      </c>
      <c r="I60" s="50">
        <v>0.53194444444444444</v>
      </c>
      <c r="J60" s="46" t="s">
        <v>15</v>
      </c>
      <c r="K60" s="51">
        <v>9.6</v>
      </c>
      <c r="L60" s="122" t="str">
        <f>IF(AND(Tabla_Ventas[[#This Row],[VENTA TOTAL]]&gt;=30,Tabla_Ventas[[#This Row],[TIPO DE CLIENTE/ Customer type]]="Member"),"PARTICIPA","NO PARTICIPA")</f>
        <v>NO PARTICIPA</v>
      </c>
    </row>
    <row r="61" spans="1:12" ht="19" x14ac:dyDescent="0.25">
      <c r="A61" s="45">
        <v>175542529</v>
      </c>
      <c r="B61" s="46" t="s">
        <v>19</v>
      </c>
      <c r="C61" s="46" t="s">
        <v>13</v>
      </c>
      <c r="D61" s="46" t="s">
        <v>24</v>
      </c>
      <c r="E61" s="47">
        <v>22.17</v>
      </c>
      <c r="F61" s="48">
        <v>8</v>
      </c>
      <c r="G61" s="78">
        <f t="shared" si="0"/>
        <v>177.36</v>
      </c>
      <c r="H61" s="120">
        <v>43527</v>
      </c>
      <c r="I61" s="50">
        <v>0.7090277777777777</v>
      </c>
      <c r="J61" s="46" t="s">
        <v>15</v>
      </c>
      <c r="K61" s="51">
        <v>9.6</v>
      </c>
      <c r="L61" s="122" t="str">
        <f>IF(AND(Tabla_Ventas[[#This Row],[VENTA TOTAL]]&gt;=30,Tabla_Ventas[[#This Row],[TIPO DE CLIENTE/ Customer type]]="Member"),"PARTICIPA","NO PARTICIPA")</f>
        <v>PARTICIPA</v>
      </c>
    </row>
    <row r="62" spans="1:12" ht="19" x14ac:dyDescent="0.25">
      <c r="A62" s="45">
        <v>828615674</v>
      </c>
      <c r="B62" s="46" t="s">
        <v>19</v>
      </c>
      <c r="C62" s="46" t="s">
        <v>13</v>
      </c>
      <c r="D62" s="46" t="s">
        <v>14</v>
      </c>
      <c r="E62" s="47">
        <v>44.02</v>
      </c>
      <c r="F62" s="48">
        <v>10</v>
      </c>
      <c r="G62" s="78">
        <f t="shared" si="0"/>
        <v>440.20000000000005</v>
      </c>
      <c r="H62" s="120">
        <v>43544</v>
      </c>
      <c r="I62" s="50">
        <v>0.83124999999999993</v>
      </c>
      <c r="J62" s="46" t="s">
        <v>15</v>
      </c>
      <c r="K62" s="51">
        <v>9.6</v>
      </c>
      <c r="L62" s="122" t="str">
        <f>IF(AND(Tabla_Ventas[[#This Row],[VENTA TOTAL]]&gt;=30,Tabla_Ventas[[#This Row],[TIPO DE CLIENTE/ Customer type]]="Member"),"PARTICIPA","NO PARTICIPA")</f>
        <v>PARTICIPA</v>
      </c>
    </row>
    <row r="63" spans="1:12" ht="19" x14ac:dyDescent="0.25">
      <c r="A63" s="45">
        <v>286015402</v>
      </c>
      <c r="B63" s="46" t="s">
        <v>19</v>
      </c>
      <c r="C63" s="46" t="s">
        <v>18</v>
      </c>
      <c r="D63" s="46" t="s">
        <v>14</v>
      </c>
      <c r="E63" s="47">
        <v>40.229999999999997</v>
      </c>
      <c r="F63" s="48">
        <v>7</v>
      </c>
      <c r="G63" s="78">
        <f t="shared" si="0"/>
        <v>281.60999999999996</v>
      </c>
      <c r="H63" s="120">
        <v>43554</v>
      </c>
      <c r="I63" s="50">
        <v>0.55694444444444446</v>
      </c>
      <c r="J63" s="46" t="s">
        <v>23</v>
      </c>
      <c r="K63" s="51">
        <v>9.6</v>
      </c>
      <c r="L63" s="122" t="str">
        <f>IF(AND(Tabla_Ventas[[#This Row],[VENTA TOTAL]]&gt;=30,Tabla_Ventas[[#This Row],[TIPO DE CLIENTE/ Customer type]]="Member"),"PARTICIPA","NO PARTICIPA")</f>
        <v>NO PARTICIPA</v>
      </c>
    </row>
    <row r="64" spans="1:12" ht="19" x14ac:dyDescent="0.25">
      <c r="A64" s="45">
        <v>843014703</v>
      </c>
      <c r="B64" s="46" t="s">
        <v>16</v>
      </c>
      <c r="C64" s="46" t="s">
        <v>13</v>
      </c>
      <c r="D64" s="46" t="s">
        <v>25</v>
      </c>
      <c r="E64" s="47">
        <v>35.380000000000003</v>
      </c>
      <c r="F64" s="48">
        <v>9</v>
      </c>
      <c r="G64" s="78">
        <f t="shared" si="0"/>
        <v>318.42</v>
      </c>
      <c r="H64" s="120">
        <v>43586</v>
      </c>
      <c r="I64" s="50">
        <v>0.82638888888888884</v>
      </c>
      <c r="J64" s="46" t="s">
        <v>15</v>
      </c>
      <c r="K64" s="51">
        <v>9.6</v>
      </c>
      <c r="L64" s="122" t="str">
        <f>IF(AND(Tabla_Ventas[[#This Row],[VENTA TOTAL]]&gt;=30,Tabla_Ventas[[#This Row],[TIPO DE CLIENTE/ Customer type]]="Member"),"PARTICIPA","NO PARTICIPA")</f>
        <v>PARTICIPA</v>
      </c>
    </row>
    <row r="65" spans="1:12" ht="19" x14ac:dyDescent="0.25">
      <c r="A65" s="45">
        <v>831640259</v>
      </c>
      <c r="B65" s="46" t="s">
        <v>16</v>
      </c>
      <c r="C65" s="46" t="s">
        <v>18</v>
      </c>
      <c r="D65" s="46" t="s">
        <v>22</v>
      </c>
      <c r="E65" s="47">
        <v>39.75</v>
      </c>
      <c r="F65" s="48">
        <v>5</v>
      </c>
      <c r="G65" s="78">
        <f t="shared" si="0"/>
        <v>198.75</v>
      </c>
      <c r="H65" s="120">
        <v>43518</v>
      </c>
      <c r="I65" s="50">
        <v>0.4465277777777778</v>
      </c>
      <c r="J65" s="46" t="s">
        <v>17</v>
      </c>
      <c r="K65" s="51">
        <v>9.6</v>
      </c>
      <c r="L65" s="122" t="str">
        <f>IF(AND(Tabla_Ventas[[#This Row],[VENTA TOTAL]]&gt;=30,Tabla_Ventas[[#This Row],[TIPO DE CLIENTE/ Customer type]]="Member"),"PARTICIPA","NO PARTICIPA")</f>
        <v>NO PARTICIPA</v>
      </c>
    </row>
    <row r="66" spans="1:12" ht="19" x14ac:dyDescent="0.25">
      <c r="A66" s="45">
        <v>616870016</v>
      </c>
      <c r="B66" s="46" t="s">
        <v>16</v>
      </c>
      <c r="C66" s="46" t="s">
        <v>18</v>
      </c>
      <c r="D66" s="46" t="s">
        <v>22</v>
      </c>
      <c r="E66" s="47">
        <v>95.54</v>
      </c>
      <c r="F66" s="48">
        <v>7</v>
      </c>
      <c r="G66" s="78">
        <f t="shared" si="0"/>
        <v>668.78000000000009</v>
      </c>
      <c r="H66" s="120">
        <v>43533</v>
      </c>
      <c r="I66" s="50">
        <v>0.60833333333333328</v>
      </c>
      <c r="J66" s="46" t="s">
        <v>15</v>
      </c>
      <c r="K66" s="51">
        <v>9.6</v>
      </c>
      <c r="L66" s="122" t="str">
        <f>IF(AND(Tabla_Ventas[[#This Row],[VENTA TOTAL]]&gt;=30,Tabla_Ventas[[#This Row],[TIPO DE CLIENTE/ Customer type]]="Member"),"PARTICIPA","NO PARTICIPA")</f>
        <v>NO PARTICIPA</v>
      </c>
    </row>
    <row r="67" spans="1:12" ht="19" x14ac:dyDescent="0.25">
      <c r="A67" s="45">
        <v>257731380</v>
      </c>
      <c r="B67" s="46" t="s">
        <v>12</v>
      </c>
      <c r="C67" s="46" t="s">
        <v>13</v>
      </c>
      <c r="D67" s="46" t="s">
        <v>14</v>
      </c>
      <c r="E67" s="47">
        <v>82.93</v>
      </c>
      <c r="F67" s="48">
        <v>4</v>
      </c>
      <c r="G67" s="78">
        <f t="shared" si="0"/>
        <v>331.72</v>
      </c>
      <c r="H67" s="120">
        <v>43485</v>
      </c>
      <c r="I67" s="50">
        <v>0.70208333333333339</v>
      </c>
      <c r="J67" s="46" t="s">
        <v>17</v>
      </c>
      <c r="K67" s="51">
        <v>9.6</v>
      </c>
      <c r="L67" s="122" t="str">
        <f>IF(AND(Tabla_Ventas[[#This Row],[VENTA TOTAL]]&gt;=30,Tabla_Ventas[[#This Row],[TIPO DE CLIENTE/ Customer type]]="Member"),"PARTICIPA","NO PARTICIPA")</f>
        <v>PARTICIPA</v>
      </c>
    </row>
    <row r="68" spans="1:12" ht="19" x14ac:dyDescent="0.25">
      <c r="A68" s="45">
        <v>449272918</v>
      </c>
      <c r="B68" s="46" t="s">
        <v>16</v>
      </c>
      <c r="C68" s="46" t="s">
        <v>13</v>
      </c>
      <c r="D68" s="46" t="s">
        <v>14</v>
      </c>
      <c r="E68" s="47">
        <v>39.119999999999997</v>
      </c>
      <c r="F68" s="48">
        <v>1</v>
      </c>
      <c r="G68" s="78">
        <f t="shared" ref="G68:G131" si="1">F68*E68</f>
        <v>39.119999999999997</v>
      </c>
      <c r="H68" s="120">
        <v>43550</v>
      </c>
      <c r="I68" s="50">
        <v>0.4597222222222222</v>
      </c>
      <c r="J68" s="46" t="s">
        <v>15</v>
      </c>
      <c r="K68" s="51">
        <v>9.6</v>
      </c>
      <c r="L68" s="122" t="str">
        <f>IF(AND(Tabla_Ventas[[#This Row],[VENTA TOTAL]]&gt;=30,Tabla_Ventas[[#This Row],[TIPO DE CLIENTE/ Customer type]]="Member"),"PARTICIPA","NO PARTICIPA")</f>
        <v>PARTICIPA</v>
      </c>
    </row>
    <row r="69" spans="1:12" ht="19" x14ac:dyDescent="0.25">
      <c r="A69" s="45">
        <v>420188989</v>
      </c>
      <c r="B69" s="46" t="s">
        <v>19</v>
      </c>
      <c r="C69" s="46" t="s">
        <v>13</v>
      </c>
      <c r="D69" s="46" t="s">
        <v>14</v>
      </c>
      <c r="E69" s="47">
        <v>51.52</v>
      </c>
      <c r="F69" s="48">
        <v>8</v>
      </c>
      <c r="G69" s="78">
        <f t="shared" si="1"/>
        <v>412.16</v>
      </c>
      <c r="H69" s="120">
        <v>43498</v>
      </c>
      <c r="I69" s="50">
        <v>0.65763888888888888</v>
      </c>
      <c r="J69" s="46" t="s">
        <v>23</v>
      </c>
      <c r="K69" s="51">
        <v>9.6</v>
      </c>
      <c r="L69" s="122" t="str">
        <f>IF(AND(Tabla_Ventas[[#This Row],[VENTA TOTAL]]&gt;=30,Tabla_Ventas[[#This Row],[TIPO DE CLIENTE/ Customer type]]="Member"),"PARTICIPA","NO PARTICIPA")</f>
        <v>PARTICIPA</v>
      </c>
    </row>
    <row r="70" spans="1:12" ht="19" x14ac:dyDescent="0.25">
      <c r="A70" s="45">
        <v>334642006</v>
      </c>
      <c r="B70" s="46" t="s">
        <v>19</v>
      </c>
      <c r="C70" s="46" t="s">
        <v>13</v>
      </c>
      <c r="D70" s="46" t="s">
        <v>25</v>
      </c>
      <c r="E70" s="49">
        <v>70.319999999999993</v>
      </c>
      <c r="F70" s="48">
        <v>2</v>
      </c>
      <c r="G70" s="78">
        <f t="shared" si="1"/>
        <v>140.63999999999999</v>
      </c>
      <c r="H70" s="120">
        <v>43548</v>
      </c>
      <c r="I70" s="50">
        <v>0.59861111111111109</v>
      </c>
      <c r="J70" s="46" t="s">
        <v>17</v>
      </c>
      <c r="K70" s="51">
        <v>9.6</v>
      </c>
      <c r="L70" s="122" t="str">
        <f>IF(AND(Tabla_Ventas[[#This Row],[VENTA TOTAL]]&gt;=30,Tabla_Ventas[[#This Row],[TIPO DE CLIENTE/ Customer type]]="Member"),"PARTICIPA","NO PARTICIPA")</f>
        <v>PARTICIPA</v>
      </c>
    </row>
    <row r="71" spans="1:12" ht="19" x14ac:dyDescent="0.25">
      <c r="A71" s="45">
        <v>626437888</v>
      </c>
      <c r="B71" s="46" t="s">
        <v>16</v>
      </c>
      <c r="C71" s="46" t="s">
        <v>18</v>
      </c>
      <c r="D71" s="46" t="s">
        <v>22</v>
      </c>
      <c r="E71" s="49">
        <v>60.41</v>
      </c>
      <c r="F71" s="48">
        <v>8</v>
      </c>
      <c r="G71" s="78">
        <f t="shared" si="1"/>
        <v>483.28</v>
      </c>
      <c r="H71" s="120">
        <v>43503</v>
      </c>
      <c r="I71" s="50">
        <v>0.51597222222222217</v>
      </c>
      <c r="J71" s="46" t="s">
        <v>17</v>
      </c>
      <c r="K71" s="51">
        <v>9.6</v>
      </c>
      <c r="L71" s="122" t="str">
        <f>IF(AND(Tabla_Ventas[[#This Row],[VENTA TOTAL]]&gt;=30,Tabla_Ventas[[#This Row],[TIPO DE CLIENTE/ Customer type]]="Member"),"PARTICIPA","NO PARTICIPA")</f>
        <v>NO PARTICIPA</v>
      </c>
    </row>
    <row r="72" spans="1:12" ht="19" x14ac:dyDescent="0.25">
      <c r="A72" s="45">
        <v>875318302</v>
      </c>
      <c r="B72" s="46" t="s">
        <v>12</v>
      </c>
      <c r="C72" s="46" t="s">
        <v>18</v>
      </c>
      <c r="D72" s="46" t="s">
        <v>14</v>
      </c>
      <c r="E72" s="49">
        <v>93.38</v>
      </c>
      <c r="F72" s="48">
        <v>1</v>
      </c>
      <c r="G72" s="78">
        <f t="shared" si="1"/>
        <v>93.38</v>
      </c>
      <c r="H72" s="120">
        <v>43468</v>
      </c>
      <c r="I72" s="50">
        <v>0.54652777777777783</v>
      </c>
      <c r="J72" s="46" t="s">
        <v>23</v>
      </c>
      <c r="K72" s="51">
        <v>9.6</v>
      </c>
      <c r="L72" s="122" t="str">
        <f>IF(AND(Tabla_Ventas[[#This Row],[VENTA TOTAL]]&gt;=30,Tabla_Ventas[[#This Row],[TIPO DE CLIENTE/ Customer type]]="Member"),"PARTICIPA","NO PARTICIPA")</f>
        <v>NO PARTICIPA</v>
      </c>
    </row>
    <row r="73" spans="1:12" ht="19" x14ac:dyDescent="0.25">
      <c r="A73" s="45">
        <v>832516761</v>
      </c>
      <c r="B73" s="46" t="s">
        <v>19</v>
      </c>
      <c r="C73" s="46" t="s">
        <v>18</v>
      </c>
      <c r="D73" s="46" t="s">
        <v>24</v>
      </c>
      <c r="E73" s="49">
        <v>33.880000000000003</v>
      </c>
      <c r="F73" s="48">
        <v>8</v>
      </c>
      <c r="G73" s="78">
        <f t="shared" si="1"/>
        <v>271.04000000000002</v>
      </c>
      <c r="H73" s="120">
        <v>43484</v>
      </c>
      <c r="I73" s="50">
        <v>0.8534722222222223</v>
      </c>
      <c r="J73" s="46" t="s">
        <v>17</v>
      </c>
      <c r="K73" s="51">
        <v>9.6</v>
      </c>
      <c r="L73" s="122" t="str">
        <f>IF(AND(Tabla_Ventas[[#This Row],[VENTA TOTAL]]&gt;=30,Tabla_Ventas[[#This Row],[TIPO DE CLIENTE/ Customer type]]="Member"),"PARTICIPA","NO PARTICIPA")</f>
        <v>NO PARTICIPA</v>
      </c>
    </row>
    <row r="74" spans="1:12" ht="19" x14ac:dyDescent="0.25">
      <c r="A74" s="45">
        <v>584664073</v>
      </c>
      <c r="B74" s="46" t="s">
        <v>16</v>
      </c>
      <c r="C74" s="46" t="s">
        <v>18</v>
      </c>
      <c r="D74" s="46" t="s">
        <v>22</v>
      </c>
      <c r="E74" s="49">
        <v>56.5</v>
      </c>
      <c r="F74" s="48">
        <v>1</v>
      </c>
      <c r="G74" s="78">
        <f t="shared" si="1"/>
        <v>56.5</v>
      </c>
      <c r="H74" s="120">
        <v>43537</v>
      </c>
      <c r="I74" s="50">
        <v>0.65625</v>
      </c>
      <c r="J74" s="46" t="s">
        <v>17</v>
      </c>
      <c r="K74" s="51">
        <v>9.6</v>
      </c>
      <c r="L74" s="122" t="str">
        <f>IF(AND(Tabla_Ventas[[#This Row],[VENTA TOTAL]]&gt;=30,Tabla_Ventas[[#This Row],[TIPO DE CLIENTE/ Customer type]]="Member"),"PARTICIPA","NO PARTICIPA")</f>
        <v>NO PARTICIPA</v>
      </c>
    </row>
    <row r="75" spans="1:12" ht="19" x14ac:dyDescent="0.25">
      <c r="A75" s="45">
        <v>132329879</v>
      </c>
      <c r="B75" s="46" t="s">
        <v>16</v>
      </c>
      <c r="C75" s="46" t="s">
        <v>13</v>
      </c>
      <c r="D75" s="46" t="s">
        <v>21</v>
      </c>
      <c r="E75" s="47">
        <v>93.96</v>
      </c>
      <c r="F75" s="48">
        <v>4</v>
      </c>
      <c r="G75" s="78">
        <f t="shared" si="1"/>
        <v>375.84</v>
      </c>
      <c r="H75" s="120">
        <v>43533</v>
      </c>
      <c r="I75" s="50">
        <v>0.75</v>
      </c>
      <c r="J75" s="46" t="s">
        <v>23</v>
      </c>
      <c r="K75" s="51">
        <v>9.5</v>
      </c>
      <c r="L75" s="122" t="str">
        <f>IF(AND(Tabla_Ventas[[#This Row],[VENTA TOTAL]]&gt;=30,Tabla_Ventas[[#This Row],[TIPO DE CLIENTE/ Customer type]]="Member"),"PARTICIPA","NO PARTICIPA")</f>
        <v>PARTICIPA</v>
      </c>
    </row>
    <row r="76" spans="1:12" ht="19" x14ac:dyDescent="0.25">
      <c r="A76" s="45">
        <v>326785178</v>
      </c>
      <c r="B76" s="46" t="s">
        <v>12</v>
      </c>
      <c r="C76" s="46" t="s">
        <v>13</v>
      </c>
      <c r="D76" s="46" t="s">
        <v>24</v>
      </c>
      <c r="E76" s="47">
        <v>91.4</v>
      </c>
      <c r="F76" s="48">
        <v>7</v>
      </c>
      <c r="G76" s="78">
        <f t="shared" si="1"/>
        <v>639.80000000000007</v>
      </c>
      <c r="H76" s="120">
        <v>43499</v>
      </c>
      <c r="I76" s="50">
        <v>0.42986111111111108</v>
      </c>
      <c r="J76" s="46" t="s">
        <v>23</v>
      </c>
      <c r="K76" s="51">
        <v>9.5</v>
      </c>
      <c r="L76" s="122" t="str">
        <f>IF(AND(Tabla_Ventas[[#This Row],[VENTA TOTAL]]&gt;=30,Tabla_Ventas[[#This Row],[TIPO DE CLIENTE/ Customer type]]="Member"),"PARTICIPA","NO PARTICIPA")</f>
        <v>PARTICIPA</v>
      </c>
    </row>
    <row r="77" spans="1:12" ht="19" x14ac:dyDescent="0.25">
      <c r="A77" s="45">
        <v>237016122</v>
      </c>
      <c r="B77" s="46" t="s">
        <v>12</v>
      </c>
      <c r="C77" s="46" t="s">
        <v>13</v>
      </c>
      <c r="D77" s="46" t="s">
        <v>25</v>
      </c>
      <c r="E77" s="47">
        <v>80.790000000000006</v>
      </c>
      <c r="F77" s="48">
        <v>9</v>
      </c>
      <c r="G77" s="78">
        <f t="shared" si="1"/>
        <v>727.11</v>
      </c>
      <c r="H77" s="120">
        <v>43467</v>
      </c>
      <c r="I77" s="50">
        <v>0.85486111111111107</v>
      </c>
      <c r="J77" s="46" t="s">
        <v>15</v>
      </c>
      <c r="K77" s="51">
        <v>9.5</v>
      </c>
      <c r="L77" s="122" t="str">
        <f>IF(AND(Tabla_Ventas[[#This Row],[VENTA TOTAL]]&gt;=30,Tabla_Ventas[[#This Row],[TIPO DE CLIENTE/ Customer type]]="Member"),"PARTICIPA","NO PARTICIPA")</f>
        <v>PARTICIPA</v>
      </c>
    </row>
    <row r="78" spans="1:12" ht="19" x14ac:dyDescent="0.25">
      <c r="A78" s="45">
        <v>458411477</v>
      </c>
      <c r="B78" s="46" t="s">
        <v>12</v>
      </c>
      <c r="C78" s="46" t="s">
        <v>18</v>
      </c>
      <c r="D78" s="46" t="s">
        <v>20</v>
      </c>
      <c r="E78" s="47">
        <v>46.26</v>
      </c>
      <c r="F78" s="48">
        <v>6</v>
      </c>
      <c r="G78" s="78">
        <f t="shared" si="1"/>
        <v>277.56</v>
      </c>
      <c r="H78" s="120">
        <v>43532</v>
      </c>
      <c r="I78" s="50">
        <v>0.71597222222222223</v>
      </c>
      <c r="J78" s="46" t="s">
        <v>15</v>
      </c>
      <c r="K78" s="51">
        <v>9.5</v>
      </c>
      <c r="L78" s="122" t="str">
        <f>IF(AND(Tabla_Ventas[[#This Row],[VENTA TOTAL]]&gt;=30,Tabla_Ventas[[#This Row],[TIPO DE CLIENTE/ Customer type]]="Member"),"PARTICIPA","NO PARTICIPA")</f>
        <v>NO PARTICIPA</v>
      </c>
    </row>
    <row r="79" spans="1:12" ht="19" x14ac:dyDescent="0.25">
      <c r="A79" s="45">
        <v>571940759</v>
      </c>
      <c r="B79" s="46" t="s">
        <v>16</v>
      </c>
      <c r="C79" s="46" t="s">
        <v>13</v>
      </c>
      <c r="D79" s="46" t="s">
        <v>24</v>
      </c>
      <c r="E79" s="47">
        <v>74.599999999999994</v>
      </c>
      <c r="F79" s="48">
        <v>10</v>
      </c>
      <c r="G79" s="78">
        <f t="shared" si="1"/>
        <v>746</v>
      </c>
      <c r="H79" s="120">
        <v>43678</v>
      </c>
      <c r="I79" s="50">
        <v>0.87152777777777779</v>
      </c>
      <c r="J79" s="46" t="s">
        <v>23</v>
      </c>
      <c r="K79" s="51">
        <v>9.5</v>
      </c>
      <c r="L79" s="122" t="str">
        <f>IF(AND(Tabla_Ventas[[#This Row],[VENTA TOTAL]]&gt;=30,Tabla_Ventas[[#This Row],[TIPO DE CLIENTE/ Customer type]]="Member"),"PARTICIPA","NO PARTICIPA")</f>
        <v>PARTICIPA</v>
      </c>
    </row>
    <row r="80" spans="1:12" ht="19" x14ac:dyDescent="0.25">
      <c r="A80" s="45">
        <v>226713580</v>
      </c>
      <c r="B80" s="46" t="s">
        <v>12</v>
      </c>
      <c r="C80" s="46" t="s">
        <v>18</v>
      </c>
      <c r="D80" s="46" t="s">
        <v>14</v>
      </c>
      <c r="E80" s="47">
        <v>23.75</v>
      </c>
      <c r="F80" s="48">
        <v>9</v>
      </c>
      <c r="G80" s="78">
        <f t="shared" si="1"/>
        <v>213.75</v>
      </c>
      <c r="H80" s="120">
        <v>43496</v>
      </c>
      <c r="I80" s="50">
        <v>0.50138888888888888</v>
      </c>
      <c r="J80" s="46" t="s">
        <v>23</v>
      </c>
      <c r="K80" s="51">
        <v>9.5</v>
      </c>
      <c r="L80" s="122" t="str">
        <f>IF(AND(Tabla_Ventas[[#This Row],[VENTA TOTAL]]&gt;=30,Tabla_Ventas[[#This Row],[TIPO DE CLIENTE/ Customer type]]="Member"),"PARTICIPA","NO PARTICIPA")</f>
        <v>NO PARTICIPA</v>
      </c>
    </row>
    <row r="81" spans="1:12" ht="19" x14ac:dyDescent="0.25">
      <c r="A81" s="45">
        <v>633093463</v>
      </c>
      <c r="B81" s="46" t="s">
        <v>12</v>
      </c>
      <c r="C81" s="46" t="s">
        <v>18</v>
      </c>
      <c r="D81" s="46" t="s">
        <v>21</v>
      </c>
      <c r="E81" s="47">
        <v>47.65</v>
      </c>
      <c r="F81" s="48">
        <v>3</v>
      </c>
      <c r="G81" s="78">
        <f t="shared" si="1"/>
        <v>142.94999999999999</v>
      </c>
      <c r="H81" s="120">
        <v>43552</v>
      </c>
      <c r="I81" s="50">
        <v>0.54027777777777775</v>
      </c>
      <c r="J81" s="46" t="s">
        <v>15</v>
      </c>
      <c r="K81" s="51">
        <v>9.5</v>
      </c>
      <c r="L81" s="122" t="str">
        <f>IF(AND(Tabla_Ventas[[#This Row],[VENTA TOTAL]]&gt;=30,Tabla_Ventas[[#This Row],[TIPO DE CLIENTE/ Customer type]]="Member"),"PARTICIPA","NO PARTICIPA")</f>
        <v>NO PARTICIPA</v>
      </c>
    </row>
    <row r="82" spans="1:12" ht="19" x14ac:dyDescent="0.25">
      <c r="A82" s="45">
        <v>394410748</v>
      </c>
      <c r="B82" s="46" t="s">
        <v>12</v>
      </c>
      <c r="C82" s="46" t="s">
        <v>13</v>
      </c>
      <c r="D82" s="46" t="s">
        <v>22</v>
      </c>
      <c r="E82" s="47">
        <v>54.07</v>
      </c>
      <c r="F82" s="48">
        <v>9</v>
      </c>
      <c r="G82" s="78">
        <f t="shared" si="1"/>
        <v>486.63</v>
      </c>
      <c r="H82" s="120">
        <v>43492</v>
      </c>
      <c r="I82" s="50">
        <v>0.62152777777777779</v>
      </c>
      <c r="J82" s="46" t="s">
        <v>17</v>
      </c>
      <c r="K82" s="51">
        <v>9.5</v>
      </c>
      <c r="L82" s="122" t="str">
        <f>IF(AND(Tabla_Ventas[[#This Row],[VENTA TOTAL]]&gt;=30,Tabla_Ventas[[#This Row],[TIPO DE CLIENTE/ Customer type]]="Member"),"PARTICIPA","NO PARTICIPA")</f>
        <v>PARTICIPA</v>
      </c>
    </row>
    <row r="83" spans="1:12" ht="19" x14ac:dyDescent="0.25">
      <c r="A83" s="45">
        <v>192987397</v>
      </c>
      <c r="B83" s="46" t="s">
        <v>12</v>
      </c>
      <c r="C83" s="46" t="s">
        <v>18</v>
      </c>
      <c r="D83" s="46" t="s">
        <v>22</v>
      </c>
      <c r="E83" s="47">
        <v>12.78</v>
      </c>
      <c r="F83" s="48">
        <v>1</v>
      </c>
      <c r="G83" s="78">
        <f t="shared" si="1"/>
        <v>12.78</v>
      </c>
      <c r="H83" s="120">
        <v>43678</v>
      </c>
      <c r="I83" s="50">
        <v>0.59097222222222223</v>
      </c>
      <c r="J83" s="46" t="s">
        <v>17</v>
      </c>
      <c r="K83" s="51">
        <v>9.5</v>
      </c>
      <c r="L83" s="122" t="str">
        <f>IF(AND(Tabla_Ventas[[#This Row],[VENTA TOTAL]]&gt;=30,Tabla_Ventas[[#This Row],[TIPO DE CLIENTE/ Customer type]]="Member"),"PARTICIPA","NO PARTICIPA")</f>
        <v>NO PARTICIPA</v>
      </c>
    </row>
    <row r="84" spans="1:12" ht="19" x14ac:dyDescent="0.25">
      <c r="A84" s="45">
        <v>390805128</v>
      </c>
      <c r="B84" s="46" t="s">
        <v>16</v>
      </c>
      <c r="C84" s="46" t="s">
        <v>13</v>
      </c>
      <c r="D84" s="46" t="s">
        <v>20</v>
      </c>
      <c r="E84" s="47">
        <v>19.149999999999999</v>
      </c>
      <c r="F84" s="48">
        <v>1</v>
      </c>
      <c r="G84" s="78">
        <f t="shared" si="1"/>
        <v>19.149999999999999</v>
      </c>
      <c r="H84" s="120">
        <v>43493</v>
      </c>
      <c r="I84" s="50">
        <v>0.74861111111111101</v>
      </c>
      <c r="J84" s="46" t="s">
        <v>15</v>
      </c>
      <c r="K84" s="51">
        <v>9.5</v>
      </c>
      <c r="L84" s="122" t="str">
        <f>IF(AND(Tabla_Ventas[[#This Row],[VENTA TOTAL]]&gt;=30,Tabla_Ventas[[#This Row],[TIPO DE CLIENTE/ Customer type]]="Member"),"PARTICIPA","NO PARTICIPA")</f>
        <v>NO PARTICIPA</v>
      </c>
    </row>
    <row r="85" spans="1:12" ht="19" x14ac:dyDescent="0.25">
      <c r="A85" s="45">
        <v>511543087</v>
      </c>
      <c r="B85" s="46" t="s">
        <v>16</v>
      </c>
      <c r="C85" s="46" t="s">
        <v>18</v>
      </c>
      <c r="D85" s="46" t="s">
        <v>14</v>
      </c>
      <c r="E85" s="47">
        <v>88.45</v>
      </c>
      <c r="F85" s="48">
        <v>1</v>
      </c>
      <c r="G85" s="78">
        <f t="shared" si="1"/>
        <v>88.45</v>
      </c>
      <c r="H85" s="120">
        <v>43521</v>
      </c>
      <c r="I85" s="50">
        <v>0.69166666666666676</v>
      </c>
      <c r="J85" s="46" t="s">
        <v>15</v>
      </c>
      <c r="K85" s="51">
        <v>9.5</v>
      </c>
      <c r="L85" s="122" t="str">
        <f>IF(AND(Tabla_Ventas[[#This Row],[VENTA TOTAL]]&gt;=30,Tabla_Ventas[[#This Row],[TIPO DE CLIENTE/ Customer type]]="Member"),"PARTICIPA","NO PARTICIPA")</f>
        <v>NO PARTICIPA</v>
      </c>
    </row>
    <row r="86" spans="1:12" ht="19" x14ac:dyDescent="0.25">
      <c r="A86" s="45">
        <v>198669832</v>
      </c>
      <c r="B86" s="46" t="s">
        <v>16</v>
      </c>
      <c r="C86" s="46" t="s">
        <v>13</v>
      </c>
      <c r="D86" s="46" t="s">
        <v>22</v>
      </c>
      <c r="E86" s="47">
        <v>72.040000000000006</v>
      </c>
      <c r="F86" s="48">
        <v>2</v>
      </c>
      <c r="G86" s="78">
        <f t="shared" si="1"/>
        <v>144.08000000000001</v>
      </c>
      <c r="H86" s="120">
        <v>43500</v>
      </c>
      <c r="I86" s="50">
        <v>0.81805555555555554</v>
      </c>
      <c r="J86" s="46" t="s">
        <v>23</v>
      </c>
      <c r="K86" s="51">
        <v>9.5</v>
      </c>
      <c r="L86" s="122" t="str">
        <f>IF(AND(Tabla_Ventas[[#This Row],[VENTA TOTAL]]&gt;=30,Tabla_Ventas[[#This Row],[TIPO DE CLIENTE/ Customer type]]="Member"),"PARTICIPA","NO PARTICIPA")</f>
        <v>PARTICIPA</v>
      </c>
    </row>
    <row r="87" spans="1:12" ht="19" x14ac:dyDescent="0.25">
      <c r="A87" s="45">
        <v>359903665</v>
      </c>
      <c r="B87" s="46" t="s">
        <v>16</v>
      </c>
      <c r="C87" s="46" t="s">
        <v>13</v>
      </c>
      <c r="D87" s="46" t="s">
        <v>22</v>
      </c>
      <c r="E87" s="47">
        <v>18.079999999999998</v>
      </c>
      <c r="F87" s="48">
        <v>4</v>
      </c>
      <c r="G87" s="78">
        <f t="shared" si="1"/>
        <v>72.319999999999993</v>
      </c>
      <c r="H87" s="120">
        <v>43479</v>
      </c>
      <c r="I87" s="50">
        <v>0.75208333333333333</v>
      </c>
      <c r="J87" s="46" t="s">
        <v>15</v>
      </c>
      <c r="K87" s="51">
        <v>9.5</v>
      </c>
      <c r="L87" s="122" t="str">
        <f>IF(AND(Tabla_Ventas[[#This Row],[VENTA TOTAL]]&gt;=30,Tabla_Ventas[[#This Row],[TIPO DE CLIENTE/ Customer type]]="Member"),"PARTICIPA","NO PARTICIPA")</f>
        <v>PARTICIPA</v>
      </c>
    </row>
    <row r="88" spans="1:12" ht="19" x14ac:dyDescent="0.25">
      <c r="A88" s="45">
        <v>152682907</v>
      </c>
      <c r="B88" s="46" t="s">
        <v>19</v>
      </c>
      <c r="C88" s="46" t="s">
        <v>18</v>
      </c>
      <c r="D88" s="46" t="s">
        <v>24</v>
      </c>
      <c r="E88" s="47">
        <v>52.2</v>
      </c>
      <c r="F88" s="48">
        <v>3</v>
      </c>
      <c r="G88" s="78">
        <f t="shared" si="1"/>
        <v>156.60000000000002</v>
      </c>
      <c r="H88" s="120">
        <v>43511</v>
      </c>
      <c r="I88" s="50">
        <v>0.5625</v>
      </c>
      <c r="J88" s="46" t="s">
        <v>15</v>
      </c>
      <c r="K88" s="51">
        <v>9.5</v>
      </c>
      <c r="L88" s="122" t="str">
        <f>IF(AND(Tabla_Ventas[[#This Row],[VENTA TOTAL]]&gt;=30,Tabla_Ventas[[#This Row],[TIPO DE CLIENTE/ Customer type]]="Member"),"PARTICIPA","NO PARTICIPA")</f>
        <v>NO PARTICIPA</v>
      </c>
    </row>
    <row r="89" spans="1:12" ht="19" x14ac:dyDescent="0.25">
      <c r="A89" s="45">
        <v>196012849</v>
      </c>
      <c r="B89" s="46" t="s">
        <v>16</v>
      </c>
      <c r="C89" s="46" t="s">
        <v>13</v>
      </c>
      <c r="D89" s="46" t="s">
        <v>22</v>
      </c>
      <c r="E89" s="49">
        <v>73.38</v>
      </c>
      <c r="F89" s="48">
        <v>7</v>
      </c>
      <c r="G89" s="78">
        <f t="shared" si="1"/>
        <v>513.66</v>
      </c>
      <c r="H89" s="120">
        <v>43506</v>
      </c>
      <c r="I89" s="50">
        <v>0.5805555555555556</v>
      </c>
      <c r="J89" s="46" t="s">
        <v>23</v>
      </c>
      <c r="K89" s="51">
        <v>9.5</v>
      </c>
      <c r="L89" s="122" t="str">
        <f>IF(AND(Tabla_Ventas[[#This Row],[VENTA TOTAL]]&gt;=30,Tabla_Ventas[[#This Row],[TIPO DE CLIENTE/ Customer type]]="Member"),"PARTICIPA","NO PARTICIPA")</f>
        <v>PARTICIPA</v>
      </c>
    </row>
    <row r="90" spans="1:12" ht="19" x14ac:dyDescent="0.25">
      <c r="A90" s="45">
        <v>756490168</v>
      </c>
      <c r="B90" s="46" t="s">
        <v>19</v>
      </c>
      <c r="C90" s="46" t="s">
        <v>13</v>
      </c>
      <c r="D90" s="46" t="s">
        <v>22</v>
      </c>
      <c r="E90" s="49">
        <v>19.7</v>
      </c>
      <c r="F90" s="48">
        <v>1</v>
      </c>
      <c r="G90" s="78">
        <f t="shared" si="1"/>
        <v>19.7</v>
      </c>
      <c r="H90" s="120">
        <v>43504</v>
      </c>
      <c r="I90" s="50">
        <v>0.48541666666666666</v>
      </c>
      <c r="J90" s="46" t="s">
        <v>17</v>
      </c>
      <c r="K90" s="51">
        <v>9.5</v>
      </c>
      <c r="L90" s="122" t="str">
        <f>IF(AND(Tabla_Ventas[[#This Row],[VENTA TOTAL]]&gt;=30,Tabla_Ventas[[#This Row],[TIPO DE CLIENTE/ Customer type]]="Member"),"PARTICIPA","NO PARTICIPA")</f>
        <v>NO PARTICIPA</v>
      </c>
    </row>
    <row r="91" spans="1:12" ht="19" x14ac:dyDescent="0.25">
      <c r="A91" s="45">
        <v>546802899</v>
      </c>
      <c r="B91" s="46" t="s">
        <v>19</v>
      </c>
      <c r="C91" s="46" t="s">
        <v>13</v>
      </c>
      <c r="D91" s="46" t="s">
        <v>25</v>
      </c>
      <c r="E91" s="49">
        <v>37.69</v>
      </c>
      <c r="F91" s="48">
        <v>2</v>
      </c>
      <c r="G91" s="78">
        <f t="shared" si="1"/>
        <v>75.38</v>
      </c>
      <c r="H91" s="120">
        <v>43516</v>
      </c>
      <c r="I91" s="50">
        <v>0.64513888888888882</v>
      </c>
      <c r="J91" s="46" t="s">
        <v>17</v>
      </c>
      <c r="K91" s="51">
        <v>9.5</v>
      </c>
      <c r="L91" s="122" t="str">
        <f>IF(AND(Tabla_Ventas[[#This Row],[VENTA TOTAL]]&gt;=30,Tabla_Ventas[[#This Row],[TIPO DE CLIENTE/ Customer type]]="Member"),"PARTICIPA","NO PARTICIPA")</f>
        <v>PARTICIPA</v>
      </c>
    </row>
    <row r="92" spans="1:12" ht="19" x14ac:dyDescent="0.25">
      <c r="A92" s="45">
        <v>636170325</v>
      </c>
      <c r="B92" s="46" t="s">
        <v>12</v>
      </c>
      <c r="C92" s="46" t="s">
        <v>18</v>
      </c>
      <c r="D92" s="46" t="s">
        <v>20</v>
      </c>
      <c r="E92" s="49">
        <v>62.57</v>
      </c>
      <c r="F92" s="48">
        <v>4</v>
      </c>
      <c r="G92" s="78">
        <f t="shared" si="1"/>
        <v>250.28</v>
      </c>
      <c r="H92" s="120">
        <v>43521</v>
      </c>
      <c r="I92" s="50">
        <v>0.77569444444444446</v>
      </c>
      <c r="J92" s="46" t="s">
        <v>23</v>
      </c>
      <c r="K92" s="51">
        <v>9.5</v>
      </c>
      <c r="L92" s="122" t="str">
        <f>IF(AND(Tabla_Ventas[[#This Row],[VENTA TOTAL]]&gt;=30,Tabla_Ventas[[#This Row],[TIPO DE CLIENTE/ Customer type]]="Member"),"PARTICIPA","NO PARTICIPA")</f>
        <v>NO PARTICIPA</v>
      </c>
    </row>
    <row r="93" spans="1:12" ht="19" x14ac:dyDescent="0.25">
      <c r="A93" s="45">
        <v>115387388</v>
      </c>
      <c r="B93" s="46" t="s">
        <v>16</v>
      </c>
      <c r="C93" s="46" t="s">
        <v>13</v>
      </c>
      <c r="D93" s="46" t="s">
        <v>22</v>
      </c>
      <c r="E93" s="49">
        <v>10.18</v>
      </c>
      <c r="F93" s="48">
        <v>8</v>
      </c>
      <c r="G93" s="78">
        <f t="shared" si="1"/>
        <v>81.44</v>
      </c>
      <c r="H93" s="120">
        <v>43554</v>
      </c>
      <c r="I93" s="50">
        <v>0.53541666666666665</v>
      </c>
      <c r="J93" s="46" t="s">
        <v>15</v>
      </c>
      <c r="K93" s="51">
        <v>9.5</v>
      </c>
      <c r="L93" s="122" t="str">
        <f>IF(AND(Tabla_Ventas[[#This Row],[VENTA TOTAL]]&gt;=30,Tabla_Ventas[[#This Row],[TIPO DE CLIENTE/ Customer type]]="Member"),"PARTICIPA","NO PARTICIPA")</f>
        <v>PARTICIPA</v>
      </c>
    </row>
    <row r="94" spans="1:12" ht="19" x14ac:dyDescent="0.25">
      <c r="A94" s="45">
        <v>884806021</v>
      </c>
      <c r="B94" s="46" t="s">
        <v>19</v>
      </c>
      <c r="C94" s="46" t="s">
        <v>13</v>
      </c>
      <c r="D94" s="46" t="s">
        <v>21</v>
      </c>
      <c r="E94" s="49">
        <v>73.47</v>
      </c>
      <c r="F94" s="48">
        <v>10</v>
      </c>
      <c r="G94" s="78">
        <f t="shared" si="1"/>
        <v>734.7</v>
      </c>
      <c r="H94" s="120">
        <v>43547</v>
      </c>
      <c r="I94" s="50">
        <v>0.55138888888888882</v>
      </c>
      <c r="J94" s="46" t="s">
        <v>17</v>
      </c>
      <c r="K94" s="51">
        <v>9.5</v>
      </c>
      <c r="L94" s="122" t="str">
        <f>IF(AND(Tabla_Ventas[[#This Row],[VENTA TOTAL]]&gt;=30,Tabla_Ventas[[#This Row],[TIPO DE CLIENTE/ Customer type]]="Member"),"PARTICIPA","NO PARTICIPA")</f>
        <v>PARTICIPA</v>
      </c>
    </row>
    <row r="95" spans="1:12" ht="19" x14ac:dyDescent="0.25">
      <c r="A95" s="45">
        <v>756931854</v>
      </c>
      <c r="B95" s="46" t="s">
        <v>16</v>
      </c>
      <c r="C95" s="46" t="s">
        <v>13</v>
      </c>
      <c r="D95" s="46" t="s">
        <v>22</v>
      </c>
      <c r="E95" s="49">
        <v>83.35</v>
      </c>
      <c r="F95" s="48">
        <v>2</v>
      </c>
      <c r="G95" s="78">
        <f t="shared" si="1"/>
        <v>166.7</v>
      </c>
      <c r="H95" s="120">
        <v>43498</v>
      </c>
      <c r="I95" s="50">
        <v>0.58680555555555558</v>
      </c>
      <c r="J95" s="46" t="s">
        <v>15</v>
      </c>
      <c r="K95" s="51">
        <v>9.5</v>
      </c>
      <c r="L95" s="122" t="str">
        <f>IF(AND(Tabla_Ventas[[#This Row],[VENTA TOTAL]]&gt;=30,Tabla_Ventas[[#This Row],[TIPO DE CLIENTE/ Customer type]]="Member"),"PARTICIPA","NO PARTICIPA")</f>
        <v>PARTICIPA</v>
      </c>
    </row>
    <row r="96" spans="1:12" ht="19" x14ac:dyDescent="0.25">
      <c r="A96" s="45">
        <v>605032706</v>
      </c>
      <c r="B96" s="46" t="s">
        <v>19</v>
      </c>
      <c r="C96" s="46" t="s">
        <v>18</v>
      </c>
      <c r="D96" s="46" t="s">
        <v>20</v>
      </c>
      <c r="E96" s="49">
        <v>15.8</v>
      </c>
      <c r="F96" s="48">
        <v>3</v>
      </c>
      <c r="G96" s="78">
        <f t="shared" si="1"/>
        <v>47.400000000000006</v>
      </c>
      <c r="H96" s="120">
        <v>43549</v>
      </c>
      <c r="I96" s="50">
        <v>0.75138888888888899</v>
      </c>
      <c r="J96" s="46" t="s">
        <v>23</v>
      </c>
      <c r="K96" s="51">
        <v>9.5</v>
      </c>
      <c r="L96" s="122" t="str">
        <f>IF(AND(Tabla_Ventas[[#This Row],[VENTA TOTAL]]&gt;=30,Tabla_Ventas[[#This Row],[TIPO DE CLIENTE/ Customer type]]="Member"),"PARTICIPA","NO PARTICIPA")</f>
        <v>NO PARTICIPA</v>
      </c>
    </row>
    <row r="97" spans="1:12" ht="19" x14ac:dyDescent="0.25">
      <c r="A97" s="45">
        <v>287219091</v>
      </c>
      <c r="B97" s="46" t="s">
        <v>19</v>
      </c>
      <c r="C97" s="46" t="s">
        <v>18</v>
      </c>
      <c r="D97" s="46" t="s">
        <v>25</v>
      </c>
      <c r="E97" s="47">
        <v>74.67</v>
      </c>
      <c r="F97" s="48">
        <v>9</v>
      </c>
      <c r="G97" s="78">
        <f t="shared" si="1"/>
        <v>672.03</v>
      </c>
      <c r="H97" s="120">
        <v>43487</v>
      </c>
      <c r="I97" s="50">
        <v>0.4548611111111111</v>
      </c>
      <c r="J97" s="46" t="s">
        <v>17</v>
      </c>
      <c r="K97" s="51">
        <v>9.4</v>
      </c>
      <c r="L97" s="122" t="str">
        <f>IF(AND(Tabla_Ventas[[#This Row],[VENTA TOTAL]]&gt;=30,Tabla_Ventas[[#This Row],[TIPO DE CLIENTE/ Customer type]]="Member"),"PARTICIPA","NO PARTICIPA")</f>
        <v>NO PARTICIPA</v>
      </c>
    </row>
    <row r="98" spans="1:12" ht="19" x14ac:dyDescent="0.25">
      <c r="A98" s="45">
        <v>316554634</v>
      </c>
      <c r="B98" s="46" t="s">
        <v>16</v>
      </c>
      <c r="C98" s="46" t="s">
        <v>13</v>
      </c>
      <c r="D98" s="46" t="s">
        <v>24</v>
      </c>
      <c r="E98" s="47">
        <v>80.05</v>
      </c>
      <c r="F98" s="48">
        <v>5</v>
      </c>
      <c r="G98" s="78">
        <f t="shared" si="1"/>
        <v>400.25</v>
      </c>
      <c r="H98" s="120">
        <v>43491</v>
      </c>
      <c r="I98" s="50">
        <v>0.53125</v>
      </c>
      <c r="J98" s="46" t="s">
        <v>15</v>
      </c>
      <c r="K98" s="51">
        <v>9.4</v>
      </c>
      <c r="L98" s="122" t="str">
        <f>IF(AND(Tabla_Ventas[[#This Row],[VENTA TOTAL]]&gt;=30,Tabla_Ventas[[#This Row],[TIPO DE CLIENTE/ Customer type]]="Member"),"PARTICIPA","NO PARTICIPA")</f>
        <v>PARTICIPA</v>
      </c>
    </row>
    <row r="99" spans="1:12" ht="19" x14ac:dyDescent="0.25">
      <c r="A99" s="45">
        <v>389253394</v>
      </c>
      <c r="B99" s="46" t="s">
        <v>12</v>
      </c>
      <c r="C99" s="46" t="s">
        <v>18</v>
      </c>
      <c r="D99" s="46" t="s">
        <v>21</v>
      </c>
      <c r="E99" s="47">
        <v>11.81</v>
      </c>
      <c r="F99" s="48">
        <v>5</v>
      </c>
      <c r="G99" s="78">
        <f t="shared" si="1"/>
        <v>59.050000000000004</v>
      </c>
      <c r="H99" s="120">
        <v>43513</v>
      </c>
      <c r="I99" s="50">
        <v>0.75416666666666676</v>
      </c>
      <c r="J99" s="46" t="s">
        <v>23</v>
      </c>
      <c r="K99" s="51">
        <v>9.4</v>
      </c>
      <c r="L99" s="122" t="str">
        <f>IF(AND(Tabla_Ventas[[#This Row],[VENTA TOTAL]]&gt;=30,Tabla_Ventas[[#This Row],[TIPO DE CLIENTE/ Customer type]]="Member"),"PARTICIPA","NO PARTICIPA")</f>
        <v>NO PARTICIPA</v>
      </c>
    </row>
    <row r="100" spans="1:12" ht="19" x14ac:dyDescent="0.25">
      <c r="A100" s="45">
        <v>746545508</v>
      </c>
      <c r="B100" s="46" t="s">
        <v>19</v>
      </c>
      <c r="C100" s="46" t="s">
        <v>18</v>
      </c>
      <c r="D100" s="46" t="s">
        <v>25</v>
      </c>
      <c r="E100" s="47">
        <v>21.52</v>
      </c>
      <c r="F100" s="48">
        <v>6</v>
      </c>
      <c r="G100" s="78">
        <f t="shared" si="1"/>
        <v>129.12</v>
      </c>
      <c r="H100" s="120">
        <v>43482</v>
      </c>
      <c r="I100" s="50">
        <v>0.53333333333333333</v>
      </c>
      <c r="J100" s="46" t="s">
        <v>15</v>
      </c>
      <c r="K100" s="51">
        <v>9.4</v>
      </c>
      <c r="L100" s="122" t="str">
        <f>IF(AND(Tabla_Ventas[[#This Row],[VENTA TOTAL]]&gt;=30,Tabla_Ventas[[#This Row],[TIPO DE CLIENTE/ Customer type]]="Member"),"PARTICIPA","NO PARTICIPA")</f>
        <v>NO PARTICIPA</v>
      </c>
    </row>
    <row r="101" spans="1:12" ht="19" x14ac:dyDescent="0.25">
      <c r="A101" s="45">
        <v>595862894</v>
      </c>
      <c r="B101" s="46" t="s">
        <v>12</v>
      </c>
      <c r="C101" s="46" t="s">
        <v>13</v>
      </c>
      <c r="D101" s="46" t="s">
        <v>22</v>
      </c>
      <c r="E101" s="47">
        <v>96.98</v>
      </c>
      <c r="F101" s="48">
        <v>4</v>
      </c>
      <c r="G101" s="78">
        <f t="shared" si="1"/>
        <v>387.92</v>
      </c>
      <c r="H101" s="120">
        <v>43618</v>
      </c>
      <c r="I101" s="50">
        <v>0.72222222222222221</v>
      </c>
      <c r="J101" s="46" t="s">
        <v>17</v>
      </c>
      <c r="K101" s="51">
        <v>9.4</v>
      </c>
      <c r="L101" s="122" t="str">
        <f>IF(AND(Tabla_Ventas[[#This Row],[VENTA TOTAL]]&gt;=30,Tabla_Ventas[[#This Row],[TIPO DE CLIENTE/ Customer type]]="Member"),"PARTICIPA","NO PARTICIPA")</f>
        <v>PARTICIPA</v>
      </c>
    </row>
    <row r="102" spans="1:12" ht="19" x14ac:dyDescent="0.25">
      <c r="A102" s="45">
        <v>110056330</v>
      </c>
      <c r="B102" s="46" t="s">
        <v>12</v>
      </c>
      <c r="C102" s="46" t="s">
        <v>18</v>
      </c>
      <c r="D102" s="46" t="s">
        <v>24</v>
      </c>
      <c r="E102" s="47">
        <v>39.43</v>
      </c>
      <c r="F102" s="48">
        <v>6</v>
      </c>
      <c r="G102" s="78">
        <f t="shared" si="1"/>
        <v>236.57999999999998</v>
      </c>
      <c r="H102" s="120">
        <v>43549</v>
      </c>
      <c r="I102" s="50">
        <v>0.84583333333333333</v>
      </c>
      <c r="J102" s="46" t="s">
        <v>15</v>
      </c>
      <c r="K102" s="51">
        <v>9.4</v>
      </c>
      <c r="L102" s="122" t="str">
        <f>IF(AND(Tabla_Ventas[[#This Row],[VENTA TOTAL]]&gt;=30,Tabla_Ventas[[#This Row],[TIPO DE CLIENTE/ Customer type]]="Member"),"PARTICIPA","NO PARTICIPA")</f>
        <v>NO PARTICIPA</v>
      </c>
    </row>
    <row r="103" spans="1:12" ht="19" x14ac:dyDescent="0.25">
      <c r="A103" s="45">
        <v>718579773</v>
      </c>
      <c r="B103" s="46" t="s">
        <v>12</v>
      </c>
      <c r="C103" s="46" t="s">
        <v>18</v>
      </c>
      <c r="D103" s="46" t="s">
        <v>14</v>
      </c>
      <c r="E103" s="47">
        <v>49.33</v>
      </c>
      <c r="F103" s="48">
        <v>10</v>
      </c>
      <c r="G103" s="78">
        <f t="shared" si="1"/>
        <v>493.29999999999995</v>
      </c>
      <c r="H103" s="120">
        <v>43499</v>
      </c>
      <c r="I103" s="50">
        <v>0.69444444444444453</v>
      </c>
      <c r="J103" s="46" t="s">
        <v>15</v>
      </c>
      <c r="K103" s="51">
        <v>9.4</v>
      </c>
      <c r="L103" s="122" t="str">
        <f>IF(AND(Tabla_Ventas[[#This Row],[VENTA TOTAL]]&gt;=30,Tabla_Ventas[[#This Row],[TIPO DE CLIENTE/ Customer type]]="Member"),"PARTICIPA","NO PARTICIPA")</f>
        <v>NO PARTICIPA</v>
      </c>
    </row>
    <row r="104" spans="1:12" ht="19" x14ac:dyDescent="0.25">
      <c r="A104" s="45">
        <v>788078452</v>
      </c>
      <c r="B104" s="46" t="s">
        <v>12</v>
      </c>
      <c r="C104" s="46" t="s">
        <v>13</v>
      </c>
      <c r="D104" s="46" t="s">
        <v>25</v>
      </c>
      <c r="E104" s="47">
        <v>24.24</v>
      </c>
      <c r="F104" s="48">
        <v>7</v>
      </c>
      <c r="G104" s="78">
        <f t="shared" si="1"/>
        <v>169.67999999999998</v>
      </c>
      <c r="H104" s="120">
        <v>43492</v>
      </c>
      <c r="I104" s="50">
        <v>0.73472222222222217</v>
      </c>
      <c r="J104" s="46" t="s">
        <v>17</v>
      </c>
      <c r="K104" s="51">
        <v>9.4</v>
      </c>
      <c r="L104" s="122" t="str">
        <f>IF(AND(Tabla_Ventas[[#This Row],[VENTA TOTAL]]&gt;=30,Tabla_Ventas[[#This Row],[TIPO DE CLIENTE/ Customer type]]="Member"),"PARTICIPA","NO PARTICIPA")</f>
        <v>PARTICIPA</v>
      </c>
    </row>
    <row r="105" spans="1:12" ht="19" x14ac:dyDescent="0.25">
      <c r="A105" s="45">
        <v>133773154</v>
      </c>
      <c r="B105" s="46" t="s">
        <v>12</v>
      </c>
      <c r="C105" s="46" t="s">
        <v>13</v>
      </c>
      <c r="D105" s="46" t="s">
        <v>22</v>
      </c>
      <c r="E105" s="49">
        <v>60.18</v>
      </c>
      <c r="F105" s="48">
        <v>4</v>
      </c>
      <c r="G105" s="78">
        <f t="shared" si="1"/>
        <v>240.72</v>
      </c>
      <c r="H105" s="120">
        <v>43512</v>
      </c>
      <c r="I105" s="50">
        <v>0.75277777777777777</v>
      </c>
      <c r="J105" s="46" t="s">
        <v>15</v>
      </c>
      <c r="K105" s="51">
        <v>9.4</v>
      </c>
      <c r="L105" s="122" t="str">
        <f>IF(AND(Tabla_Ventas[[#This Row],[VENTA TOTAL]]&gt;=30,Tabla_Ventas[[#This Row],[TIPO DE CLIENTE/ Customer type]]="Member"),"PARTICIPA","NO PARTICIPA")</f>
        <v>PARTICIPA</v>
      </c>
    </row>
    <row r="106" spans="1:12" ht="19" x14ac:dyDescent="0.25">
      <c r="A106" s="45">
        <v>130674723</v>
      </c>
      <c r="B106" s="46" t="s">
        <v>19</v>
      </c>
      <c r="C106" s="46" t="s">
        <v>13</v>
      </c>
      <c r="D106" s="46" t="s">
        <v>24</v>
      </c>
      <c r="E106" s="49">
        <v>48.5</v>
      </c>
      <c r="F106" s="48">
        <v>6</v>
      </c>
      <c r="G106" s="78">
        <f t="shared" si="1"/>
        <v>291</v>
      </c>
      <c r="H106" s="120">
        <v>43476</v>
      </c>
      <c r="I106" s="50">
        <v>0.58124999999999993</v>
      </c>
      <c r="J106" s="46" t="s">
        <v>17</v>
      </c>
      <c r="K106" s="51">
        <v>9.4</v>
      </c>
      <c r="L106" s="122" t="str">
        <f>IF(AND(Tabla_Ventas[[#This Row],[VENTA TOTAL]]&gt;=30,Tabla_Ventas[[#This Row],[TIPO DE CLIENTE/ Customer type]]="Member"),"PARTICIPA","NO PARTICIPA")</f>
        <v>PARTICIPA</v>
      </c>
    </row>
    <row r="107" spans="1:12" ht="19" x14ac:dyDescent="0.25">
      <c r="A107" s="45">
        <v>401094232</v>
      </c>
      <c r="B107" s="46" t="s">
        <v>16</v>
      </c>
      <c r="C107" s="46" t="s">
        <v>13</v>
      </c>
      <c r="D107" s="46" t="s">
        <v>25</v>
      </c>
      <c r="E107" s="49">
        <v>86.69</v>
      </c>
      <c r="F107" s="48">
        <v>5</v>
      </c>
      <c r="G107" s="78">
        <f t="shared" si="1"/>
        <v>433.45</v>
      </c>
      <c r="H107" s="120">
        <v>43507</v>
      </c>
      <c r="I107" s="50">
        <v>0.77638888888888891</v>
      </c>
      <c r="J107" s="46" t="s">
        <v>17</v>
      </c>
      <c r="K107" s="51">
        <v>9.4</v>
      </c>
      <c r="L107" s="122" t="str">
        <f>IF(AND(Tabla_Ventas[[#This Row],[VENTA TOTAL]]&gt;=30,Tabla_Ventas[[#This Row],[TIPO DE CLIENTE/ Customer type]]="Member"),"PARTICIPA","NO PARTICIPA")</f>
        <v>PARTICIPA</v>
      </c>
    </row>
    <row r="108" spans="1:12" ht="19" x14ac:dyDescent="0.25">
      <c r="A108" s="45">
        <v>715201673</v>
      </c>
      <c r="B108" s="46" t="s">
        <v>12</v>
      </c>
      <c r="C108" s="46" t="s">
        <v>18</v>
      </c>
      <c r="D108" s="46" t="s">
        <v>21</v>
      </c>
      <c r="E108" s="49">
        <v>28.38</v>
      </c>
      <c r="F108" s="48">
        <v>5</v>
      </c>
      <c r="G108" s="78">
        <f t="shared" si="1"/>
        <v>141.9</v>
      </c>
      <c r="H108" s="120">
        <v>43529</v>
      </c>
      <c r="I108" s="50">
        <v>0.87291666666666667</v>
      </c>
      <c r="J108" s="46" t="s">
        <v>23</v>
      </c>
      <c r="K108" s="51">
        <v>9.4</v>
      </c>
      <c r="L108" s="122" t="str">
        <f>IF(AND(Tabla_Ventas[[#This Row],[VENTA TOTAL]]&gt;=30,Tabla_Ventas[[#This Row],[TIPO DE CLIENTE/ Customer type]]="Member"),"PARTICIPA","NO PARTICIPA")</f>
        <v>NO PARTICIPA</v>
      </c>
    </row>
    <row r="109" spans="1:12" ht="19" x14ac:dyDescent="0.25">
      <c r="A109" s="45">
        <v>120064233</v>
      </c>
      <c r="B109" s="46" t="s">
        <v>12</v>
      </c>
      <c r="C109" s="46" t="s">
        <v>18</v>
      </c>
      <c r="D109" s="46" t="s">
        <v>21</v>
      </c>
      <c r="E109" s="47">
        <v>30.61</v>
      </c>
      <c r="F109" s="48">
        <v>6</v>
      </c>
      <c r="G109" s="78">
        <f t="shared" si="1"/>
        <v>183.66</v>
      </c>
      <c r="H109" s="120">
        <v>43509</v>
      </c>
      <c r="I109" s="50">
        <v>0.85833333333333339</v>
      </c>
      <c r="J109" s="46" t="s">
        <v>23</v>
      </c>
      <c r="K109" s="51">
        <v>9.3000000000000007</v>
      </c>
      <c r="L109" s="122" t="str">
        <f>IF(AND(Tabla_Ventas[[#This Row],[VENTA TOTAL]]&gt;=30,Tabla_Ventas[[#This Row],[TIPO DE CLIENTE/ Customer type]]="Member"),"PARTICIPA","NO PARTICIPA")</f>
        <v>NO PARTICIPA</v>
      </c>
    </row>
    <row r="110" spans="1:12" ht="19" x14ac:dyDescent="0.25">
      <c r="A110" s="45">
        <v>865926136</v>
      </c>
      <c r="B110" s="46" t="s">
        <v>19</v>
      </c>
      <c r="C110" s="46" t="s">
        <v>18</v>
      </c>
      <c r="D110" s="46" t="s">
        <v>24</v>
      </c>
      <c r="E110" s="47">
        <v>52.75</v>
      </c>
      <c r="F110" s="48">
        <v>3</v>
      </c>
      <c r="G110" s="78">
        <f t="shared" si="1"/>
        <v>158.25</v>
      </c>
      <c r="H110" s="120">
        <v>43547</v>
      </c>
      <c r="I110" s="50">
        <v>0.42777777777777781</v>
      </c>
      <c r="J110" s="46" t="s">
        <v>17</v>
      </c>
      <c r="K110" s="51">
        <v>9.3000000000000007</v>
      </c>
      <c r="L110" s="122" t="str">
        <f>IF(AND(Tabla_Ventas[[#This Row],[VENTA TOTAL]]&gt;=30,Tabla_Ventas[[#This Row],[TIPO DE CLIENTE/ Customer type]]="Member"),"PARTICIPA","NO PARTICIPA")</f>
        <v>NO PARTICIPA</v>
      </c>
    </row>
    <row r="111" spans="1:12" ht="19" x14ac:dyDescent="0.25">
      <c r="A111" s="45">
        <v>400894171</v>
      </c>
      <c r="B111" s="46" t="s">
        <v>12</v>
      </c>
      <c r="C111" s="46" t="s">
        <v>18</v>
      </c>
      <c r="D111" s="46" t="s">
        <v>14</v>
      </c>
      <c r="E111" s="47">
        <v>80.97</v>
      </c>
      <c r="F111" s="48">
        <v>8</v>
      </c>
      <c r="G111" s="78">
        <f t="shared" si="1"/>
        <v>647.76</v>
      </c>
      <c r="H111" s="120">
        <v>43493</v>
      </c>
      <c r="I111" s="50">
        <v>0.54513888888888895</v>
      </c>
      <c r="J111" s="46" t="s">
        <v>23</v>
      </c>
      <c r="K111" s="51">
        <v>9.3000000000000007</v>
      </c>
      <c r="L111" s="122" t="str">
        <f>IF(AND(Tabla_Ventas[[#This Row],[VENTA TOTAL]]&gt;=30,Tabla_Ventas[[#This Row],[TIPO DE CLIENTE/ Customer type]]="Member"),"PARTICIPA","NO PARTICIPA")</f>
        <v>NO PARTICIPA</v>
      </c>
    </row>
    <row r="112" spans="1:12" ht="19" x14ac:dyDescent="0.25">
      <c r="A112" s="45">
        <v>416135917</v>
      </c>
      <c r="B112" s="46" t="s">
        <v>12</v>
      </c>
      <c r="C112" s="46" t="s">
        <v>18</v>
      </c>
      <c r="D112" s="46" t="s">
        <v>24</v>
      </c>
      <c r="E112" s="47">
        <v>97.03</v>
      </c>
      <c r="F112" s="48">
        <v>5</v>
      </c>
      <c r="G112" s="78">
        <f t="shared" si="1"/>
        <v>485.15</v>
      </c>
      <c r="H112" s="120">
        <v>43495</v>
      </c>
      <c r="I112" s="50">
        <v>0.68333333333333324</v>
      </c>
      <c r="J112" s="46" t="s">
        <v>17</v>
      </c>
      <c r="K112" s="51">
        <v>9.3000000000000007</v>
      </c>
      <c r="L112" s="122" t="str">
        <f>IF(AND(Tabla_Ventas[[#This Row],[VENTA TOTAL]]&gt;=30,Tabla_Ventas[[#This Row],[TIPO DE CLIENTE/ Customer type]]="Member"),"PARTICIPA","NO PARTICIPA")</f>
        <v>NO PARTICIPA</v>
      </c>
    </row>
    <row r="113" spans="1:12" ht="19" x14ac:dyDescent="0.25">
      <c r="A113" s="45">
        <v>632900281</v>
      </c>
      <c r="B113" s="46" t="s">
        <v>12</v>
      </c>
      <c r="C113" s="46" t="s">
        <v>18</v>
      </c>
      <c r="D113" s="46" t="s">
        <v>22</v>
      </c>
      <c r="E113" s="47">
        <v>37.549999999999997</v>
      </c>
      <c r="F113" s="48">
        <v>10</v>
      </c>
      <c r="G113" s="78">
        <f t="shared" si="1"/>
        <v>375.5</v>
      </c>
      <c r="H113" s="120">
        <v>43532</v>
      </c>
      <c r="I113" s="50">
        <v>0.8340277777777777</v>
      </c>
      <c r="J113" s="46" t="s">
        <v>15</v>
      </c>
      <c r="K113" s="51">
        <v>9.3000000000000007</v>
      </c>
      <c r="L113" s="122" t="str">
        <f>IF(AND(Tabla_Ventas[[#This Row],[VENTA TOTAL]]&gt;=30,Tabla_Ventas[[#This Row],[TIPO DE CLIENTE/ Customer type]]="Member"),"PARTICIPA","NO PARTICIPA")</f>
        <v>NO PARTICIPA</v>
      </c>
    </row>
    <row r="114" spans="1:12" ht="19" x14ac:dyDescent="0.25">
      <c r="A114" s="45">
        <v>595274851</v>
      </c>
      <c r="B114" s="46" t="s">
        <v>19</v>
      </c>
      <c r="C114" s="46" t="s">
        <v>18</v>
      </c>
      <c r="D114" s="46" t="s">
        <v>22</v>
      </c>
      <c r="E114" s="47">
        <v>54.28</v>
      </c>
      <c r="F114" s="48">
        <v>7</v>
      </c>
      <c r="G114" s="78">
        <f t="shared" si="1"/>
        <v>379.96000000000004</v>
      </c>
      <c r="H114" s="120">
        <v>43492</v>
      </c>
      <c r="I114" s="50">
        <v>0.75347222222222221</v>
      </c>
      <c r="J114" s="46" t="s">
        <v>17</v>
      </c>
      <c r="K114" s="51">
        <v>9.3000000000000007</v>
      </c>
      <c r="L114" s="122" t="str">
        <f>IF(AND(Tabla_Ventas[[#This Row],[VENTA TOTAL]]&gt;=30,Tabla_Ventas[[#This Row],[TIPO DE CLIENTE/ Customer type]]="Member"),"PARTICIPA","NO PARTICIPA")</f>
        <v>NO PARTICIPA</v>
      </c>
    </row>
    <row r="115" spans="1:12" ht="19" x14ac:dyDescent="0.25">
      <c r="A115" s="45">
        <v>827777633</v>
      </c>
      <c r="B115" s="46" t="s">
        <v>19</v>
      </c>
      <c r="C115" s="46" t="s">
        <v>18</v>
      </c>
      <c r="D115" s="46" t="s">
        <v>14</v>
      </c>
      <c r="E115" s="47">
        <v>98.09</v>
      </c>
      <c r="F115" s="48">
        <v>9</v>
      </c>
      <c r="G115" s="78">
        <f t="shared" si="1"/>
        <v>882.81000000000006</v>
      </c>
      <c r="H115" s="120">
        <v>43513</v>
      </c>
      <c r="I115" s="50">
        <v>0.82013888888888886</v>
      </c>
      <c r="J115" s="46" t="s">
        <v>23</v>
      </c>
      <c r="K115" s="51">
        <v>9.3000000000000007</v>
      </c>
      <c r="L115" s="122" t="str">
        <f>IF(AND(Tabla_Ventas[[#This Row],[VENTA TOTAL]]&gt;=30,Tabla_Ventas[[#This Row],[TIPO DE CLIENTE/ Customer type]]="Member"),"PARTICIPA","NO PARTICIPA")</f>
        <v>NO PARTICIPA</v>
      </c>
    </row>
    <row r="116" spans="1:12" ht="19" x14ac:dyDescent="0.25">
      <c r="A116" s="45">
        <v>322022271</v>
      </c>
      <c r="B116" s="46" t="s">
        <v>12</v>
      </c>
      <c r="C116" s="46" t="s">
        <v>18</v>
      </c>
      <c r="D116" s="46" t="s">
        <v>14</v>
      </c>
      <c r="E116" s="49">
        <v>42.97</v>
      </c>
      <c r="F116" s="48">
        <v>3</v>
      </c>
      <c r="G116" s="78">
        <f t="shared" si="1"/>
        <v>128.91</v>
      </c>
      <c r="H116" s="120">
        <v>43499</v>
      </c>
      <c r="I116" s="50">
        <v>0.49027777777777781</v>
      </c>
      <c r="J116" s="46" t="s">
        <v>23</v>
      </c>
      <c r="K116" s="51">
        <v>9.3000000000000007</v>
      </c>
      <c r="L116" s="122" t="str">
        <f>IF(AND(Tabla_Ventas[[#This Row],[VENTA TOTAL]]&gt;=30,Tabla_Ventas[[#This Row],[TIPO DE CLIENTE/ Customer type]]="Member"),"PARTICIPA","NO PARTICIPA")</f>
        <v>NO PARTICIPA</v>
      </c>
    </row>
    <row r="117" spans="1:12" ht="19" x14ac:dyDescent="0.25">
      <c r="A117" s="45">
        <v>556416224</v>
      </c>
      <c r="B117" s="46" t="s">
        <v>16</v>
      </c>
      <c r="C117" s="46" t="s">
        <v>18</v>
      </c>
      <c r="D117" s="46" t="s">
        <v>20</v>
      </c>
      <c r="E117" s="49">
        <v>33.64</v>
      </c>
      <c r="F117" s="48">
        <v>8</v>
      </c>
      <c r="G117" s="78">
        <f t="shared" si="1"/>
        <v>269.12</v>
      </c>
      <c r="H117" s="120">
        <v>43511</v>
      </c>
      <c r="I117" s="50">
        <v>0.71527777777777779</v>
      </c>
      <c r="J117" s="46" t="s">
        <v>15</v>
      </c>
      <c r="K117" s="51">
        <v>9.3000000000000007</v>
      </c>
      <c r="L117" s="122" t="str">
        <f>IF(AND(Tabla_Ventas[[#This Row],[VENTA TOTAL]]&gt;=30,Tabla_Ventas[[#This Row],[TIPO DE CLIENTE/ Customer type]]="Member"),"PARTICIPA","NO PARTICIPA")</f>
        <v>NO PARTICIPA</v>
      </c>
    </row>
    <row r="118" spans="1:12" ht="19" x14ac:dyDescent="0.25">
      <c r="A118" s="45">
        <v>299290180</v>
      </c>
      <c r="B118" s="46" t="s">
        <v>12</v>
      </c>
      <c r="C118" s="46" t="s">
        <v>13</v>
      </c>
      <c r="D118" s="46" t="s">
        <v>25</v>
      </c>
      <c r="E118" s="49">
        <v>52.18</v>
      </c>
      <c r="F118" s="48">
        <v>7</v>
      </c>
      <c r="G118" s="78">
        <f t="shared" si="1"/>
        <v>365.26</v>
      </c>
      <c r="H118" s="120">
        <v>43533</v>
      </c>
      <c r="I118" s="50">
        <v>0.45416666666666666</v>
      </c>
      <c r="J118" s="46" t="s">
        <v>23</v>
      </c>
      <c r="K118" s="51">
        <v>9.3000000000000007</v>
      </c>
      <c r="L118" s="122" t="str">
        <f>IF(AND(Tabla_Ventas[[#This Row],[VENTA TOTAL]]&gt;=30,Tabla_Ventas[[#This Row],[TIPO DE CLIENTE/ Customer type]]="Member"),"PARTICIPA","NO PARTICIPA")</f>
        <v>PARTICIPA</v>
      </c>
    </row>
    <row r="119" spans="1:12" ht="19" x14ac:dyDescent="0.25">
      <c r="A119" s="45">
        <v>790384466</v>
      </c>
      <c r="B119" s="46" t="s">
        <v>16</v>
      </c>
      <c r="C119" s="46" t="s">
        <v>18</v>
      </c>
      <c r="D119" s="46" t="s">
        <v>20</v>
      </c>
      <c r="E119" s="49">
        <v>10.99</v>
      </c>
      <c r="F119" s="48">
        <v>5</v>
      </c>
      <c r="G119" s="78">
        <f t="shared" si="1"/>
        <v>54.95</v>
      </c>
      <c r="H119" s="120">
        <v>43488</v>
      </c>
      <c r="I119" s="50">
        <v>0.4291666666666667</v>
      </c>
      <c r="J119" s="46" t="s">
        <v>15</v>
      </c>
      <c r="K119" s="51">
        <v>9.3000000000000007</v>
      </c>
      <c r="L119" s="122" t="str">
        <f>IF(AND(Tabla_Ventas[[#This Row],[VENTA TOTAL]]&gt;=30,Tabla_Ventas[[#This Row],[TIPO DE CLIENTE/ Customer type]]="Member"),"PARTICIPA","NO PARTICIPA")</f>
        <v>NO PARTICIPA</v>
      </c>
    </row>
    <row r="120" spans="1:12" ht="19" x14ac:dyDescent="0.25">
      <c r="A120" s="45">
        <v>263125321</v>
      </c>
      <c r="B120" s="46" t="s">
        <v>19</v>
      </c>
      <c r="C120" s="46" t="s">
        <v>13</v>
      </c>
      <c r="D120" s="46" t="s">
        <v>21</v>
      </c>
      <c r="E120" s="49">
        <v>92.6</v>
      </c>
      <c r="F120" s="48">
        <v>7</v>
      </c>
      <c r="G120" s="78">
        <f t="shared" si="1"/>
        <v>648.19999999999993</v>
      </c>
      <c r="H120" s="120">
        <v>43523</v>
      </c>
      <c r="I120" s="50">
        <v>0.53611111111111109</v>
      </c>
      <c r="J120" s="46" t="s">
        <v>15</v>
      </c>
      <c r="K120" s="51">
        <v>9.3000000000000007</v>
      </c>
      <c r="L120" s="122" t="str">
        <f>IF(AND(Tabla_Ventas[[#This Row],[VENTA TOTAL]]&gt;=30,Tabla_Ventas[[#This Row],[TIPO DE CLIENTE/ Customer type]]="Member"),"PARTICIPA","NO PARTICIPA")</f>
        <v>PARTICIPA</v>
      </c>
    </row>
    <row r="121" spans="1:12" ht="19" x14ac:dyDescent="0.25">
      <c r="A121" s="45">
        <v>852822749</v>
      </c>
      <c r="B121" s="46" t="s">
        <v>19</v>
      </c>
      <c r="C121" s="46" t="s">
        <v>18</v>
      </c>
      <c r="D121" s="46" t="s">
        <v>14</v>
      </c>
      <c r="E121" s="49">
        <v>64.59</v>
      </c>
      <c r="F121" s="48">
        <v>4</v>
      </c>
      <c r="G121" s="78">
        <f t="shared" si="1"/>
        <v>258.36</v>
      </c>
      <c r="H121" s="120">
        <v>43471</v>
      </c>
      <c r="I121" s="50">
        <v>0.56597222222222221</v>
      </c>
      <c r="J121" s="46" t="s">
        <v>17</v>
      </c>
      <c r="K121" s="51">
        <v>9.3000000000000007</v>
      </c>
      <c r="L121" s="122" t="str">
        <f>IF(AND(Tabla_Ventas[[#This Row],[VENTA TOTAL]]&gt;=30,Tabla_Ventas[[#This Row],[TIPO DE CLIENTE/ Customer type]]="Member"),"PARTICIPA","NO PARTICIPA")</f>
        <v>NO PARTICIPA</v>
      </c>
    </row>
    <row r="122" spans="1:12" ht="19" x14ac:dyDescent="0.25">
      <c r="A122" s="45">
        <v>722132115</v>
      </c>
      <c r="B122" s="46" t="s">
        <v>16</v>
      </c>
      <c r="C122" s="46" t="s">
        <v>13</v>
      </c>
      <c r="D122" s="46" t="s">
        <v>14</v>
      </c>
      <c r="E122" s="49">
        <v>42.85</v>
      </c>
      <c r="F122" s="48">
        <v>1</v>
      </c>
      <c r="G122" s="78">
        <f t="shared" si="1"/>
        <v>42.85</v>
      </c>
      <c r="H122" s="120">
        <v>43538</v>
      </c>
      <c r="I122" s="50">
        <v>0.65</v>
      </c>
      <c r="J122" s="46" t="s">
        <v>15</v>
      </c>
      <c r="K122" s="51">
        <v>9.3000000000000007</v>
      </c>
      <c r="L122" s="122" t="str">
        <f>IF(AND(Tabla_Ventas[[#This Row],[VENTA TOTAL]]&gt;=30,Tabla_Ventas[[#This Row],[TIPO DE CLIENTE/ Customer type]]="Member"),"PARTICIPA","NO PARTICIPA")</f>
        <v>PARTICIPA</v>
      </c>
    </row>
    <row r="123" spans="1:12" ht="19" x14ac:dyDescent="0.25">
      <c r="A123" s="45">
        <v>503214385</v>
      </c>
      <c r="B123" s="46" t="s">
        <v>12</v>
      </c>
      <c r="C123" s="46" t="s">
        <v>13</v>
      </c>
      <c r="D123" s="46" t="s">
        <v>20</v>
      </c>
      <c r="E123" s="49">
        <v>39.909999999999997</v>
      </c>
      <c r="F123" s="48">
        <v>3</v>
      </c>
      <c r="G123" s="78">
        <f t="shared" si="1"/>
        <v>119.72999999999999</v>
      </c>
      <c r="H123" s="120">
        <v>43517</v>
      </c>
      <c r="I123" s="50">
        <v>0.52777777777777779</v>
      </c>
      <c r="J123" s="46" t="s">
        <v>17</v>
      </c>
      <c r="K123" s="51">
        <v>9.3000000000000007</v>
      </c>
      <c r="L123" s="122" t="str">
        <f>IF(AND(Tabla_Ventas[[#This Row],[VENTA TOTAL]]&gt;=30,Tabla_Ventas[[#This Row],[TIPO DE CLIENTE/ Customer type]]="Member"),"PARTICIPA","NO PARTICIPA")</f>
        <v>PARTICIPA</v>
      </c>
    </row>
    <row r="124" spans="1:12" ht="19" x14ac:dyDescent="0.25">
      <c r="A124" s="45">
        <v>195060432</v>
      </c>
      <c r="B124" s="46" t="s">
        <v>19</v>
      </c>
      <c r="C124" s="46" t="s">
        <v>13</v>
      </c>
      <c r="D124" s="46" t="s">
        <v>25</v>
      </c>
      <c r="E124" s="49">
        <v>81.010000000000005</v>
      </c>
      <c r="F124" s="48">
        <v>3</v>
      </c>
      <c r="G124" s="78">
        <f t="shared" si="1"/>
        <v>243.03000000000003</v>
      </c>
      <c r="H124" s="120">
        <v>43478</v>
      </c>
      <c r="I124" s="50">
        <v>0.53819444444444442</v>
      </c>
      <c r="J124" s="46" t="s">
        <v>15</v>
      </c>
      <c r="K124" s="51">
        <v>9.3000000000000007</v>
      </c>
      <c r="L124" s="122" t="str">
        <f>IF(AND(Tabla_Ventas[[#This Row],[VENTA TOTAL]]&gt;=30,Tabla_Ventas[[#This Row],[TIPO DE CLIENTE/ Customer type]]="Member"),"PARTICIPA","NO PARTICIPA")</f>
        <v>PARTICIPA</v>
      </c>
    </row>
    <row r="125" spans="1:12" ht="19" x14ac:dyDescent="0.25">
      <c r="A125" s="45">
        <v>861770145</v>
      </c>
      <c r="B125" s="46" t="s">
        <v>12</v>
      </c>
      <c r="C125" s="46" t="s">
        <v>13</v>
      </c>
      <c r="D125" s="46" t="s">
        <v>21</v>
      </c>
      <c r="E125" s="47">
        <v>81.97</v>
      </c>
      <c r="F125" s="48">
        <v>10</v>
      </c>
      <c r="G125" s="78">
        <f t="shared" si="1"/>
        <v>819.7</v>
      </c>
      <c r="H125" s="120">
        <v>43527</v>
      </c>
      <c r="I125" s="50">
        <v>0.60416666666666663</v>
      </c>
      <c r="J125" s="46" t="s">
        <v>23</v>
      </c>
      <c r="K125" s="51">
        <v>9.1999999999999993</v>
      </c>
      <c r="L125" s="122" t="str">
        <f>IF(AND(Tabla_Ventas[[#This Row],[VENTA TOTAL]]&gt;=30,Tabla_Ventas[[#This Row],[TIPO DE CLIENTE/ Customer type]]="Member"),"PARTICIPA","NO PARTICIPA")</f>
        <v>PARTICIPA</v>
      </c>
    </row>
    <row r="126" spans="1:12" ht="19" x14ac:dyDescent="0.25">
      <c r="A126" s="45">
        <v>575308091</v>
      </c>
      <c r="B126" s="46" t="s">
        <v>19</v>
      </c>
      <c r="C126" s="46" t="s">
        <v>18</v>
      </c>
      <c r="D126" s="46" t="s">
        <v>14</v>
      </c>
      <c r="E126" s="47">
        <v>72.5</v>
      </c>
      <c r="F126" s="48">
        <v>8</v>
      </c>
      <c r="G126" s="78">
        <f t="shared" si="1"/>
        <v>580</v>
      </c>
      <c r="H126" s="120">
        <v>43540</v>
      </c>
      <c r="I126" s="50">
        <v>0.80902777777777779</v>
      </c>
      <c r="J126" s="46" t="s">
        <v>17</v>
      </c>
      <c r="K126" s="51">
        <v>9.1999999999999993</v>
      </c>
      <c r="L126" s="122" t="str">
        <f>IF(AND(Tabla_Ventas[[#This Row],[VENTA TOTAL]]&gt;=30,Tabla_Ventas[[#This Row],[TIPO DE CLIENTE/ Customer type]]="Member"),"PARTICIPA","NO PARTICIPA")</f>
        <v>NO PARTICIPA</v>
      </c>
    </row>
    <row r="127" spans="1:12" ht="19" x14ac:dyDescent="0.25">
      <c r="A127" s="45">
        <v>685641609</v>
      </c>
      <c r="B127" s="46" t="s">
        <v>19</v>
      </c>
      <c r="C127" s="46" t="s">
        <v>13</v>
      </c>
      <c r="D127" s="46" t="s">
        <v>22</v>
      </c>
      <c r="E127" s="47">
        <v>30.14</v>
      </c>
      <c r="F127" s="48">
        <v>10</v>
      </c>
      <c r="G127" s="78">
        <f t="shared" si="1"/>
        <v>301.39999999999998</v>
      </c>
      <c r="H127" s="120">
        <v>43506</v>
      </c>
      <c r="I127" s="50">
        <v>0.51944444444444449</v>
      </c>
      <c r="J127" s="46" t="s">
        <v>17</v>
      </c>
      <c r="K127" s="51">
        <v>9.1999999999999993</v>
      </c>
      <c r="L127" s="122" t="str">
        <f>IF(AND(Tabla_Ventas[[#This Row],[VENTA TOTAL]]&gt;=30,Tabla_Ventas[[#This Row],[TIPO DE CLIENTE/ Customer type]]="Member"),"PARTICIPA","NO PARTICIPA")</f>
        <v>PARTICIPA</v>
      </c>
    </row>
    <row r="128" spans="1:12" ht="19" x14ac:dyDescent="0.25">
      <c r="A128" s="45">
        <v>286436208</v>
      </c>
      <c r="B128" s="46" t="s">
        <v>12</v>
      </c>
      <c r="C128" s="46" t="s">
        <v>18</v>
      </c>
      <c r="D128" s="46" t="s">
        <v>24</v>
      </c>
      <c r="E128" s="47">
        <v>87.8</v>
      </c>
      <c r="F128" s="48">
        <v>9</v>
      </c>
      <c r="G128" s="78">
        <f t="shared" si="1"/>
        <v>790.19999999999993</v>
      </c>
      <c r="H128" s="120">
        <v>43540</v>
      </c>
      <c r="I128" s="50">
        <v>0.79722222222222217</v>
      </c>
      <c r="J128" s="46" t="s">
        <v>23</v>
      </c>
      <c r="K128" s="51">
        <v>9.1999999999999993</v>
      </c>
      <c r="L128" s="122" t="str">
        <f>IF(AND(Tabla_Ventas[[#This Row],[VENTA TOTAL]]&gt;=30,Tabla_Ventas[[#This Row],[TIPO DE CLIENTE/ Customer type]]="Member"),"PARTICIPA","NO PARTICIPA")</f>
        <v>NO PARTICIPA</v>
      </c>
    </row>
    <row r="129" spans="1:12" ht="19" x14ac:dyDescent="0.25">
      <c r="A129" s="45">
        <v>472159636</v>
      </c>
      <c r="B129" s="46" t="s">
        <v>19</v>
      </c>
      <c r="C129" s="46" t="s">
        <v>18</v>
      </c>
      <c r="D129" s="46" t="s">
        <v>25</v>
      </c>
      <c r="E129" s="47">
        <v>50.93</v>
      </c>
      <c r="F129" s="48">
        <v>8</v>
      </c>
      <c r="G129" s="78">
        <f t="shared" si="1"/>
        <v>407.44</v>
      </c>
      <c r="H129" s="120">
        <v>43519</v>
      </c>
      <c r="I129" s="50">
        <v>0.81666666666666676</v>
      </c>
      <c r="J129" s="46" t="s">
        <v>17</v>
      </c>
      <c r="K129" s="51">
        <v>9.1999999999999993</v>
      </c>
      <c r="L129" s="122" t="str">
        <f>IF(AND(Tabla_Ventas[[#This Row],[VENTA TOTAL]]&gt;=30,Tabla_Ventas[[#This Row],[TIPO DE CLIENTE/ Customer type]]="Member"),"PARTICIPA","NO PARTICIPA")</f>
        <v>NO PARTICIPA</v>
      </c>
    </row>
    <row r="130" spans="1:12" ht="19" x14ac:dyDescent="0.25">
      <c r="A130" s="45">
        <v>186093669</v>
      </c>
      <c r="B130" s="46" t="s">
        <v>12</v>
      </c>
      <c r="C130" s="46" t="s">
        <v>13</v>
      </c>
      <c r="D130" s="46" t="s">
        <v>20</v>
      </c>
      <c r="E130" s="47">
        <v>81.510000000000005</v>
      </c>
      <c r="F130" s="48">
        <v>1</v>
      </c>
      <c r="G130" s="78">
        <f t="shared" si="1"/>
        <v>81.510000000000005</v>
      </c>
      <c r="H130" s="120">
        <v>43487</v>
      </c>
      <c r="I130" s="50">
        <v>0.45624999999999999</v>
      </c>
      <c r="J130" s="46" t="s">
        <v>17</v>
      </c>
      <c r="K130" s="51">
        <v>9.1999999999999993</v>
      </c>
      <c r="L130" s="122" t="str">
        <f>IF(AND(Tabla_Ventas[[#This Row],[VENTA TOTAL]]&gt;=30,Tabla_Ventas[[#This Row],[TIPO DE CLIENTE/ Customer type]]="Member"),"PARTICIPA","NO PARTICIPA")</f>
        <v>PARTICIPA</v>
      </c>
    </row>
    <row r="131" spans="1:12" ht="19" x14ac:dyDescent="0.25">
      <c r="A131" s="45">
        <v>841188232</v>
      </c>
      <c r="B131" s="46" t="s">
        <v>16</v>
      </c>
      <c r="C131" s="46" t="s">
        <v>18</v>
      </c>
      <c r="D131" s="46" t="s">
        <v>24</v>
      </c>
      <c r="E131" s="47">
        <v>71.2</v>
      </c>
      <c r="F131" s="48">
        <v>1</v>
      </c>
      <c r="G131" s="78">
        <f t="shared" si="1"/>
        <v>71.2</v>
      </c>
      <c r="H131" s="120">
        <v>43586</v>
      </c>
      <c r="I131" s="50">
        <v>0.86111111111111116</v>
      </c>
      <c r="J131" s="46" t="s">
        <v>15</v>
      </c>
      <c r="K131" s="51">
        <v>9.1999999999999993</v>
      </c>
      <c r="L131" s="122" t="str">
        <f>IF(AND(Tabla_Ventas[[#This Row],[VENTA TOTAL]]&gt;=30,Tabla_Ventas[[#This Row],[TIPO DE CLIENTE/ Customer type]]="Member"),"PARTICIPA","NO PARTICIPA")</f>
        <v>NO PARTICIPA</v>
      </c>
    </row>
    <row r="132" spans="1:12" ht="19" x14ac:dyDescent="0.25">
      <c r="A132" s="45">
        <v>278862735</v>
      </c>
      <c r="B132" s="46" t="s">
        <v>19</v>
      </c>
      <c r="C132" s="46" t="s">
        <v>18</v>
      </c>
      <c r="D132" s="46" t="s">
        <v>24</v>
      </c>
      <c r="E132" s="47">
        <v>52.34</v>
      </c>
      <c r="F132" s="48">
        <v>3</v>
      </c>
      <c r="G132" s="78">
        <f t="shared" ref="G132:G195" si="2">F132*E132</f>
        <v>157.02000000000001</v>
      </c>
      <c r="H132" s="120">
        <v>43551</v>
      </c>
      <c r="I132" s="50">
        <v>0.5854166666666667</v>
      </c>
      <c r="J132" s="46" t="s">
        <v>23</v>
      </c>
      <c r="K132" s="51">
        <v>9.1999999999999993</v>
      </c>
      <c r="L132" s="122" t="str">
        <f>IF(AND(Tabla_Ventas[[#This Row],[VENTA TOTAL]]&gt;=30,Tabla_Ventas[[#This Row],[TIPO DE CLIENTE/ Customer type]]="Member"),"PARTICIPA","NO PARTICIPA")</f>
        <v>NO PARTICIPA</v>
      </c>
    </row>
    <row r="133" spans="1:12" ht="19" x14ac:dyDescent="0.25">
      <c r="A133" s="45">
        <v>258697810</v>
      </c>
      <c r="B133" s="46" t="s">
        <v>16</v>
      </c>
      <c r="C133" s="46" t="s">
        <v>18</v>
      </c>
      <c r="D133" s="46" t="s">
        <v>22</v>
      </c>
      <c r="E133" s="49">
        <v>36.85</v>
      </c>
      <c r="F133" s="48">
        <v>5</v>
      </c>
      <c r="G133" s="78">
        <f t="shared" si="2"/>
        <v>184.25</v>
      </c>
      <c r="H133" s="120">
        <v>43491</v>
      </c>
      <c r="I133" s="50">
        <v>0.78680555555555554</v>
      </c>
      <c r="J133" s="46" t="s">
        <v>23</v>
      </c>
      <c r="K133" s="51">
        <v>9.1999999999999993</v>
      </c>
      <c r="L133" s="122" t="str">
        <f>IF(AND(Tabla_Ventas[[#This Row],[VENTA TOTAL]]&gt;=30,Tabla_Ventas[[#This Row],[TIPO DE CLIENTE/ Customer type]]="Member"),"PARTICIPA","NO PARTICIPA")</f>
        <v>NO PARTICIPA</v>
      </c>
    </row>
    <row r="134" spans="1:12" ht="19" x14ac:dyDescent="0.25">
      <c r="A134" s="45">
        <v>420973340</v>
      </c>
      <c r="B134" s="46" t="s">
        <v>19</v>
      </c>
      <c r="C134" s="46" t="s">
        <v>18</v>
      </c>
      <c r="D134" s="46" t="s">
        <v>24</v>
      </c>
      <c r="E134" s="49">
        <v>71.680000000000007</v>
      </c>
      <c r="F134" s="48">
        <v>3</v>
      </c>
      <c r="G134" s="78">
        <f t="shared" si="2"/>
        <v>215.04000000000002</v>
      </c>
      <c r="H134" s="120">
        <v>43552</v>
      </c>
      <c r="I134" s="50">
        <v>0.64583333333333337</v>
      </c>
      <c r="J134" s="46" t="s">
        <v>15</v>
      </c>
      <c r="K134" s="51">
        <v>9.1999999999999993</v>
      </c>
      <c r="L134" s="122" t="str">
        <f>IF(AND(Tabla_Ventas[[#This Row],[VENTA TOTAL]]&gt;=30,Tabla_Ventas[[#This Row],[TIPO DE CLIENTE/ Customer type]]="Member"),"PARTICIPA","NO PARTICIPA")</f>
        <v>NO PARTICIPA</v>
      </c>
    </row>
    <row r="135" spans="1:12" ht="19" x14ac:dyDescent="0.25">
      <c r="A135" s="45">
        <v>729062010</v>
      </c>
      <c r="B135" s="46" t="s">
        <v>12</v>
      </c>
      <c r="C135" s="46" t="s">
        <v>13</v>
      </c>
      <c r="D135" s="46" t="s">
        <v>20</v>
      </c>
      <c r="E135" s="49">
        <v>80.47</v>
      </c>
      <c r="F135" s="48">
        <v>9</v>
      </c>
      <c r="G135" s="78">
        <f t="shared" si="2"/>
        <v>724.23</v>
      </c>
      <c r="H135" s="120">
        <v>43471</v>
      </c>
      <c r="I135" s="50">
        <v>0.47083333333333338</v>
      </c>
      <c r="J135" s="46" t="s">
        <v>23</v>
      </c>
      <c r="K135" s="51">
        <v>9.1999999999999993</v>
      </c>
      <c r="L135" s="122" t="str">
        <f>IF(AND(Tabla_Ventas[[#This Row],[VENTA TOTAL]]&gt;=30,Tabla_Ventas[[#This Row],[TIPO DE CLIENTE/ Customer type]]="Member"),"PARTICIPA","NO PARTICIPA")</f>
        <v>PARTICIPA</v>
      </c>
    </row>
    <row r="136" spans="1:12" ht="19" x14ac:dyDescent="0.25">
      <c r="A136" s="45">
        <v>400804065</v>
      </c>
      <c r="B136" s="46" t="s">
        <v>16</v>
      </c>
      <c r="C136" s="46" t="s">
        <v>13</v>
      </c>
      <c r="D136" s="46" t="s">
        <v>20</v>
      </c>
      <c r="E136" s="49">
        <v>68.55</v>
      </c>
      <c r="F136" s="48">
        <v>4</v>
      </c>
      <c r="G136" s="78">
        <f t="shared" si="2"/>
        <v>274.2</v>
      </c>
      <c r="H136" s="120">
        <v>43511</v>
      </c>
      <c r="I136" s="50">
        <v>0.84791666666666676</v>
      </c>
      <c r="J136" s="46" t="s">
        <v>15</v>
      </c>
      <c r="K136" s="51">
        <v>9.1999999999999993</v>
      </c>
      <c r="L136" s="122" t="str">
        <f>IF(AND(Tabla_Ventas[[#This Row],[VENTA TOTAL]]&gt;=30,Tabla_Ventas[[#This Row],[TIPO DE CLIENTE/ Customer type]]="Member"),"PARTICIPA","NO PARTICIPA")</f>
        <v>PARTICIPA</v>
      </c>
    </row>
    <row r="137" spans="1:12" ht="19" x14ac:dyDescent="0.25">
      <c r="A137" s="45">
        <v>477592456</v>
      </c>
      <c r="B137" s="46" t="s">
        <v>16</v>
      </c>
      <c r="C137" s="46" t="s">
        <v>18</v>
      </c>
      <c r="D137" s="46" t="s">
        <v>22</v>
      </c>
      <c r="E137" s="49">
        <v>45.44</v>
      </c>
      <c r="F137" s="48">
        <v>7</v>
      </c>
      <c r="G137" s="78">
        <f t="shared" si="2"/>
        <v>318.08</v>
      </c>
      <c r="H137" s="120">
        <v>43488</v>
      </c>
      <c r="I137" s="50">
        <v>0.46875</v>
      </c>
      <c r="J137" s="46" t="s">
        <v>23</v>
      </c>
      <c r="K137" s="51">
        <v>9.1999999999999993</v>
      </c>
      <c r="L137" s="122" t="str">
        <f>IF(AND(Tabla_Ventas[[#This Row],[VENTA TOTAL]]&gt;=30,Tabla_Ventas[[#This Row],[TIPO DE CLIENTE/ Customer type]]="Member"),"PARTICIPA","NO PARTICIPA")</f>
        <v>NO PARTICIPA</v>
      </c>
    </row>
    <row r="138" spans="1:12" ht="19" x14ac:dyDescent="0.25">
      <c r="A138" s="45">
        <v>528149470</v>
      </c>
      <c r="B138" s="46" t="s">
        <v>19</v>
      </c>
      <c r="C138" s="46" t="s">
        <v>13</v>
      </c>
      <c r="D138" s="46" t="s">
        <v>20</v>
      </c>
      <c r="E138" s="49">
        <v>91.3</v>
      </c>
      <c r="F138" s="48">
        <v>1</v>
      </c>
      <c r="G138" s="78">
        <f t="shared" si="2"/>
        <v>91.3</v>
      </c>
      <c r="H138" s="120">
        <v>43510</v>
      </c>
      <c r="I138" s="50">
        <v>0.61249999999999993</v>
      </c>
      <c r="J138" s="46" t="s">
        <v>17</v>
      </c>
      <c r="K138" s="51">
        <v>9.1999999999999993</v>
      </c>
      <c r="L138" s="122" t="str">
        <f>IF(AND(Tabla_Ventas[[#This Row],[VENTA TOTAL]]&gt;=30,Tabla_Ventas[[#This Row],[TIPO DE CLIENTE/ Customer type]]="Member"),"PARTICIPA","NO PARTICIPA")</f>
        <v>PARTICIPA</v>
      </c>
    </row>
    <row r="139" spans="1:12" ht="19" x14ac:dyDescent="0.25">
      <c r="A139" s="45">
        <v>843734724</v>
      </c>
      <c r="B139" s="46" t="s">
        <v>19</v>
      </c>
      <c r="C139" s="46" t="s">
        <v>18</v>
      </c>
      <c r="D139" s="46" t="s">
        <v>22</v>
      </c>
      <c r="E139" s="49">
        <v>74.099999999999994</v>
      </c>
      <c r="F139" s="48">
        <v>1</v>
      </c>
      <c r="G139" s="78">
        <f t="shared" si="2"/>
        <v>74.099999999999994</v>
      </c>
      <c r="H139" s="120">
        <v>43490</v>
      </c>
      <c r="I139" s="50">
        <v>0.46180555555555558</v>
      </c>
      <c r="J139" s="46" t="s">
        <v>23</v>
      </c>
      <c r="K139" s="51">
        <v>9.1999999999999993</v>
      </c>
      <c r="L139" s="122" t="str">
        <f>IF(AND(Tabla_Ventas[[#This Row],[VENTA TOTAL]]&gt;=30,Tabla_Ventas[[#This Row],[TIPO DE CLIENTE/ Customer type]]="Member"),"PARTICIPA","NO PARTICIPA")</f>
        <v>NO PARTICIPA</v>
      </c>
    </row>
    <row r="140" spans="1:12" ht="19" x14ac:dyDescent="0.25">
      <c r="A140" s="45">
        <v>409339708</v>
      </c>
      <c r="B140" s="46" t="s">
        <v>19</v>
      </c>
      <c r="C140" s="46" t="s">
        <v>18</v>
      </c>
      <c r="D140" s="46" t="s">
        <v>22</v>
      </c>
      <c r="E140" s="49">
        <v>98.48</v>
      </c>
      <c r="F140" s="48">
        <v>2</v>
      </c>
      <c r="G140" s="78">
        <f t="shared" si="2"/>
        <v>196.96</v>
      </c>
      <c r="H140" s="120">
        <v>43515</v>
      </c>
      <c r="I140" s="50">
        <v>0.42499999999999999</v>
      </c>
      <c r="J140" s="46" t="s">
        <v>17</v>
      </c>
      <c r="K140" s="51">
        <v>9.1999999999999993</v>
      </c>
      <c r="L140" s="122" t="str">
        <f>IF(AND(Tabla_Ventas[[#This Row],[VENTA TOTAL]]&gt;=30,Tabla_Ventas[[#This Row],[TIPO DE CLIENTE/ Customer type]]="Member"),"PARTICIPA","NO PARTICIPA")</f>
        <v>NO PARTICIPA</v>
      </c>
    </row>
    <row r="141" spans="1:12" ht="19" x14ac:dyDescent="0.25">
      <c r="A141" s="45">
        <v>750678428</v>
      </c>
      <c r="B141" s="46" t="s">
        <v>19</v>
      </c>
      <c r="C141" s="46" t="s">
        <v>13</v>
      </c>
      <c r="D141" s="46" t="s">
        <v>20</v>
      </c>
      <c r="E141" s="47">
        <v>74.69</v>
      </c>
      <c r="F141" s="48">
        <v>7</v>
      </c>
      <c r="G141" s="78">
        <f t="shared" si="2"/>
        <v>522.82999999999993</v>
      </c>
      <c r="H141" s="120">
        <v>43586</v>
      </c>
      <c r="I141" s="50">
        <v>0.54722222222222217</v>
      </c>
      <c r="J141" s="46" t="s">
        <v>17</v>
      </c>
      <c r="K141" s="51">
        <v>9.1</v>
      </c>
      <c r="L141" s="122" t="str">
        <f>IF(AND(Tabla_Ventas[[#This Row],[VENTA TOTAL]]&gt;=30,Tabla_Ventas[[#This Row],[TIPO DE CLIENTE/ Customer type]]="Member"),"PARTICIPA","NO PARTICIPA")</f>
        <v>PARTICIPA</v>
      </c>
    </row>
    <row r="142" spans="1:12" ht="19" x14ac:dyDescent="0.25">
      <c r="A142" s="45">
        <v>338652210</v>
      </c>
      <c r="B142" s="46" t="s">
        <v>12</v>
      </c>
      <c r="C142" s="46" t="s">
        <v>13</v>
      </c>
      <c r="D142" s="46" t="s">
        <v>20</v>
      </c>
      <c r="E142" s="47">
        <v>68.599999999999994</v>
      </c>
      <c r="F142" s="48">
        <v>10</v>
      </c>
      <c r="G142" s="78">
        <f t="shared" si="2"/>
        <v>686</v>
      </c>
      <c r="H142" s="120">
        <v>43587</v>
      </c>
      <c r="I142" s="50">
        <v>0.83124999999999993</v>
      </c>
      <c r="J142" s="46" t="s">
        <v>23</v>
      </c>
      <c r="K142" s="51">
        <v>9.1</v>
      </c>
      <c r="L142" s="122" t="str">
        <f>IF(AND(Tabla_Ventas[[#This Row],[VENTA TOTAL]]&gt;=30,Tabla_Ventas[[#This Row],[TIPO DE CLIENTE/ Customer type]]="Member"),"PARTICIPA","NO PARTICIPA")</f>
        <v>PARTICIPA</v>
      </c>
    </row>
    <row r="143" spans="1:12" ht="19" x14ac:dyDescent="0.25">
      <c r="A143" s="45">
        <v>565173836</v>
      </c>
      <c r="B143" s="46" t="s">
        <v>19</v>
      </c>
      <c r="C143" s="46" t="s">
        <v>13</v>
      </c>
      <c r="D143" s="46" t="s">
        <v>20</v>
      </c>
      <c r="E143" s="47">
        <v>47.67</v>
      </c>
      <c r="F143" s="48">
        <v>4</v>
      </c>
      <c r="G143" s="78">
        <f t="shared" si="2"/>
        <v>190.68</v>
      </c>
      <c r="H143" s="120">
        <v>43509</v>
      </c>
      <c r="I143" s="50">
        <v>0.59791666666666665</v>
      </c>
      <c r="J143" s="46" t="s">
        <v>23</v>
      </c>
      <c r="K143" s="51">
        <v>9.1</v>
      </c>
      <c r="L143" s="122" t="str">
        <f>IF(AND(Tabla_Ventas[[#This Row],[VENTA TOTAL]]&gt;=30,Tabla_Ventas[[#This Row],[TIPO DE CLIENTE/ Customer type]]="Member"),"PARTICIPA","NO PARTICIPA")</f>
        <v>PARTICIPA</v>
      </c>
    </row>
    <row r="144" spans="1:12" ht="19" x14ac:dyDescent="0.25">
      <c r="A144" s="45">
        <v>634978956</v>
      </c>
      <c r="B144" s="46" t="s">
        <v>19</v>
      </c>
      <c r="C144" s="46" t="s">
        <v>18</v>
      </c>
      <c r="D144" s="46" t="s">
        <v>24</v>
      </c>
      <c r="E144" s="47">
        <v>32.9</v>
      </c>
      <c r="F144" s="48">
        <v>3</v>
      </c>
      <c r="G144" s="78">
        <f t="shared" si="2"/>
        <v>98.699999999999989</v>
      </c>
      <c r="H144" s="120">
        <v>43513</v>
      </c>
      <c r="I144" s="50">
        <v>0.7270833333333333</v>
      </c>
      <c r="J144" s="46" t="s">
        <v>15</v>
      </c>
      <c r="K144" s="51">
        <v>9.1</v>
      </c>
      <c r="L144" s="122" t="str">
        <f>IF(AND(Tabla_Ventas[[#This Row],[VENTA TOTAL]]&gt;=30,Tabla_Ventas[[#This Row],[TIPO DE CLIENTE/ Customer type]]="Member"),"PARTICIPA","NO PARTICIPA")</f>
        <v>NO PARTICIPA</v>
      </c>
    </row>
    <row r="145" spans="1:12" ht="19" x14ac:dyDescent="0.25">
      <c r="A145" s="45">
        <v>527096272</v>
      </c>
      <c r="B145" s="46" t="s">
        <v>19</v>
      </c>
      <c r="C145" s="46" t="s">
        <v>13</v>
      </c>
      <c r="D145" s="46" t="s">
        <v>21</v>
      </c>
      <c r="E145" s="47">
        <v>28.45</v>
      </c>
      <c r="F145" s="48">
        <v>5</v>
      </c>
      <c r="G145" s="78">
        <f t="shared" si="2"/>
        <v>142.25</v>
      </c>
      <c r="H145" s="120">
        <v>43488</v>
      </c>
      <c r="I145" s="50">
        <v>0.4284722222222222</v>
      </c>
      <c r="J145" s="46" t="s">
        <v>15</v>
      </c>
      <c r="K145" s="51">
        <v>9.1</v>
      </c>
      <c r="L145" s="122" t="str">
        <f>IF(AND(Tabla_Ventas[[#This Row],[VENTA TOTAL]]&gt;=30,Tabla_Ventas[[#This Row],[TIPO DE CLIENTE/ Customer type]]="Member"),"PARTICIPA","NO PARTICIPA")</f>
        <v>PARTICIPA</v>
      </c>
    </row>
    <row r="146" spans="1:12" ht="19" x14ac:dyDescent="0.25">
      <c r="A146" s="45">
        <v>605724132</v>
      </c>
      <c r="B146" s="46" t="s">
        <v>12</v>
      </c>
      <c r="C146" s="46" t="s">
        <v>18</v>
      </c>
      <c r="D146" s="46" t="s">
        <v>24</v>
      </c>
      <c r="E146" s="47">
        <v>94.47</v>
      </c>
      <c r="F146" s="48">
        <v>8</v>
      </c>
      <c r="G146" s="78">
        <f t="shared" si="2"/>
        <v>755.76</v>
      </c>
      <c r="H146" s="120">
        <v>43523</v>
      </c>
      <c r="I146" s="50">
        <v>0.6333333333333333</v>
      </c>
      <c r="J146" s="46" t="s">
        <v>23</v>
      </c>
      <c r="K146" s="51">
        <v>9.1</v>
      </c>
      <c r="L146" s="122" t="str">
        <f>IF(AND(Tabla_Ventas[[#This Row],[VENTA TOTAL]]&gt;=30,Tabla_Ventas[[#This Row],[TIPO DE CLIENTE/ Customer type]]="Member"),"PARTICIPA","NO PARTICIPA")</f>
        <v>NO PARTICIPA</v>
      </c>
    </row>
    <row r="147" spans="1:12" ht="19" x14ac:dyDescent="0.25">
      <c r="A147" s="45">
        <v>834259262</v>
      </c>
      <c r="B147" s="46" t="s">
        <v>12</v>
      </c>
      <c r="C147" s="46" t="s">
        <v>18</v>
      </c>
      <c r="D147" s="46" t="s">
        <v>22</v>
      </c>
      <c r="E147" s="47">
        <v>81.680000000000007</v>
      </c>
      <c r="F147" s="48">
        <v>4</v>
      </c>
      <c r="G147" s="78">
        <f t="shared" si="2"/>
        <v>326.72000000000003</v>
      </c>
      <c r="H147" s="120">
        <v>43471</v>
      </c>
      <c r="I147" s="50">
        <v>0.5083333333333333</v>
      </c>
      <c r="J147" s="46" t="s">
        <v>23</v>
      </c>
      <c r="K147" s="51">
        <v>9.1</v>
      </c>
      <c r="L147" s="122" t="str">
        <f>IF(AND(Tabla_Ventas[[#This Row],[VENTA TOTAL]]&gt;=30,Tabla_Ventas[[#This Row],[TIPO DE CLIENTE/ Customer type]]="Member"),"PARTICIPA","NO PARTICIPA")</f>
        <v>NO PARTICIPA</v>
      </c>
    </row>
    <row r="148" spans="1:12" ht="19" x14ac:dyDescent="0.25">
      <c r="A148" s="45">
        <v>422298786</v>
      </c>
      <c r="B148" s="46" t="s">
        <v>19</v>
      </c>
      <c r="C148" s="46" t="s">
        <v>18</v>
      </c>
      <c r="D148" s="46" t="s">
        <v>25</v>
      </c>
      <c r="E148" s="47">
        <v>67.09</v>
      </c>
      <c r="F148" s="48">
        <v>5</v>
      </c>
      <c r="G148" s="78">
        <f t="shared" si="2"/>
        <v>335.45000000000005</v>
      </c>
      <c r="H148" s="120">
        <v>43468</v>
      </c>
      <c r="I148" s="50">
        <v>0.69930555555555562</v>
      </c>
      <c r="J148" s="46" t="s">
        <v>15</v>
      </c>
      <c r="K148" s="51">
        <v>9.1</v>
      </c>
      <c r="L148" s="122" t="str">
        <f>IF(AND(Tabla_Ventas[[#This Row],[VENTA TOTAL]]&gt;=30,Tabla_Ventas[[#This Row],[TIPO DE CLIENTE/ Customer type]]="Member"),"PARTICIPA","NO PARTICIPA")</f>
        <v>NO PARTICIPA</v>
      </c>
    </row>
    <row r="149" spans="1:12" ht="19" x14ac:dyDescent="0.25">
      <c r="A149" s="45">
        <v>470329057</v>
      </c>
      <c r="B149" s="46" t="s">
        <v>19</v>
      </c>
      <c r="C149" s="46" t="s">
        <v>13</v>
      </c>
      <c r="D149" s="46" t="s">
        <v>24</v>
      </c>
      <c r="E149" s="47">
        <v>51.34</v>
      </c>
      <c r="F149" s="48">
        <v>5</v>
      </c>
      <c r="G149" s="78">
        <f t="shared" si="2"/>
        <v>256.70000000000005</v>
      </c>
      <c r="H149" s="120">
        <v>43552</v>
      </c>
      <c r="I149" s="50">
        <v>0.64652777777777781</v>
      </c>
      <c r="J149" s="46" t="s">
        <v>15</v>
      </c>
      <c r="K149" s="51">
        <v>9.1</v>
      </c>
      <c r="L149" s="122" t="str">
        <f>IF(AND(Tabla_Ventas[[#This Row],[VENTA TOTAL]]&gt;=30,Tabla_Ventas[[#This Row],[TIPO DE CLIENTE/ Customer type]]="Member"),"PARTICIPA","NO PARTICIPA")</f>
        <v>PARTICIPA</v>
      </c>
    </row>
    <row r="150" spans="1:12" ht="19" x14ac:dyDescent="0.25">
      <c r="A150" s="45">
        <v>573988548</v>
      </c>
      <c r="B150" s="46" t="s">
        <v>12</v>
      </c>
      <c r="C150" s="46" t="s">
        <v>13</v>
      </c>
      <c r="D150" s="46" t="s">
        <v>22</v>
      </c>
      <c r="E150" s="47">
        <v>31.9</v>
      </c>
      <c r="F150" s="48">
        <v>1</v>
      </c>
      <c r="G150" s="78">
        <f t="shared" si="2"/>
        <v>31.9</v>
      </c>
      <c r="H150" s="120">
        <v>43586</v>
      </c>
      <c r="I150" s="50">
        <v>0.52777777777777779</v>
      </c>
      <c r="J150" s="46" t="s">
        <v>17</v>
      </c>
      <c r="K150" s="51">
        <v>9.1</v>
      </c>
      <c r="L150" s="122" t="str">
        <f>IF(AND(Tabla_Ventas[[#This Row],[VENTA TOTAL]]&gt;=30,Tabla_Ventas[[#This Row],[TIPO DE CLIENTE/ Customer type]]="Member"),"PARTICIPA","NO PARTICIPA")</f>
        <v>PARTICIPA</v>
      </c>
    </row>
    <row r="151" spans="1:12" ht="19" x14ac:dyDescent="0.25">
      <c r="A151" s="45">
        <v>460354390</v>
      </c>
      <c r="B151" s="46" t="s">
        <v>19</v>
      </c>
      <c r="C151" s="46" t="s">
        <v>18</v>
      </c>
      <c r="D151" s="46" t="s">
        <v>25</v>
      </c>
      <c r="E151" s="47">
        <v>30.68</v>
      </c>
      <c r="F151" s="48">
        <v>3</v>
      </c>
      <c r="G151" s="78">
        <f t="shared" si="2"/>
        <v>92.039999999999992</v>
      </c>
      <c r="H151" s="120">
        <v>43487</v>
      </c>
      <c r="I151" s="50">
        <v>0.45833333333333331</v>
      </c>
      <c r="J151" s="46" t="s">
        <v>17</v>
      </c>
      <c r="K151" s="51">
        <v>9.1</v>
      </c>
      <c r="L151" s="122" t="str">
        <f>IF(AND(Tabla_Ventas[[#This Row],[VENTA TOTAL]]&gt;=30,Tabla_Ventas[[#This Row],[TIPO DE CLIENTE/ Customer type]]="Member"),"PARTICIPA","NO PARTICIPA")</f>
        <v>NO PARTICIPA</v>
      </c>
    </row>
    <row r="152" spans="1:12" ht="19" x14ac:dyDescent="0.25">
      <c r="A152" s="45">
        <v>135138269</v>
      </c>
      <c r="B152" s="46" t="s">
        <v>12</v>
      </c>
      <c r="C152" s="46" t="s">
        <v>13</v>
      </c>
      <c r="D152" s="46" t="s">
        <v>24</v>
      </c>
      <c r="E152" s="49">
        <v>78.88</v>
      </c>
      <c r="F152" s="48">
        <v>2</v>
      </c>
      <c r="G152" s="78">
        <f t="shared" si="2"/>
        <v>157.76</v>
      </c>
      <c r="H152" s="120">
        <v>43491</v>
      </c>
      <c r="I152" s="50">
        <v>0.6694444444444444</v>
      </c>
      <c r="J152" s="46" t="s">
        <v>23</v>
      </c>
      <c r="K152" s="51">
        <v>9.1</v>
      </c>
      <c r="L152" s="122" t="str">
        <f>IF(AND(Tabla_Ventas[[#This Row],[VENTA TOTAL]]&gt;=30,Tabla_Ventas[[#This Row],[TIPO DE CLIENTE/ Customer type]]="Member"),"PARTICIPA","NO PARTICIPA")</f>
        <v>PARTICIPA</v>
      </c>
    </row>
    <row r="153" spans="1:12" ht="19" x14ac:dyDescent="0.25">
      <c r="A153" s="45">
        <v>760275490</v>
      </c>
      <c r="B153" s="46" t="s">
        <v>16</v>
      </c>
      <c r="C153" s="46" t="s">
        <v>18</v>
      </c>
      <c r="D153" s="46" t="s">
        <v>22</v>
      </c>
      <c r="E153" s="49">
        <v>15.62</v>
      </c>
      <c r="F153" s="48">
        <v>8</v>
      </c>
      <c r="G153" s="78">
        <f t="shared" si="2"/>
        <v>124.96</v>
      </c>
      <c r="H153" s="120">
        <v>43485</v>
      </c>
      <c r="I153" s="50">
        <v>0.85902777777777783</v>
      </c>
      <c r="J153" s="46" t="s">
        <v>17</v>
      </c>
      <c r="K153" s="51">
        <v>9.1</v>
      </c>
      <c r="L153" s="122" t="str">
        <f>IF(AND(Tabla_Ventas[[#This Row],[VENTA TOTAL]]&gt;=30,Tabla_Ventas[[#This Row],[TIPO DE CLIENTE/ Customer type]]="Member"),"PARTICIPA","NO PARTICIPA")</f>
        <v>NO PARTICIPA</v>
      </c>
    </row>
    <row r="154" spans="1:12" ht="19" x14ac:dyDescent="0.25">
      <c r="A154" s="45">
        <v>786942700</v>
      </c>
      <c r="B154" s="46" t="s">
        <v>19</v>
      </c>
      <c r="C154" s="46" t="s">
        <v>13</v>
      </c>
      <c r="D154" s="46" t="s">
        <v>24</v>
      </c>
      <c r="E154" s="49">
        <v>80.62</v>
      </c>
      <c r="F154" s="48">
        <v>6</v>
      </c>
      <c r="G154" s="78">
        <f t="shared" si="2"/>
        <v>483.72</v>
      </c>
      <c r="H154" s="120">
        <v>43524</v>
      </c>
      <c r="I154" s="50">
        <v>0.84583333333333333</v>
      </c>
      <c r="J154" s="46" t="s">
        <v>23</v>
      </c>
      <c r="K154" s="51">
        <v>9.1</v>
      </c>
      <c r="L154" s="122" t="str">
        <f>IF(AND(Tabla_Ventas[[#This Row],[VENTA TOTAL]]&gt;=30,Tabla_Ventas[[#This Row],[TIPO DE CLIENTE/ Customer type]]="Member"),"PARTICIPA","NO PARTICIPA")</f>
        <v>PARTICIPA</v>
      </c>
    </row>
    <row r="155" spans="1:12" ht="19" x14ac:dyDescent="0.25">
      <c r="A155" s="45">
        <v>870543162</v>
      </c>
      <c r="B155" s="46" t="s">
        <v>19</v>
      </c>
      <c r="C155" s="46" t="s">
        <v>18</v>
      </c>
      <c r="D155" s="46" t="s">
        <v>14</v>
      </c>
      <c r="E155" s="47">
        <v>32.25</v>
      </c>
      <c r="F155" s="48">
        <v>5</v>
      </c>
      <c r="G155" s="78">
        <f t="shared" si="2"/>
        <v>161.25</v>
      </c>
      <c r="H155" s="120">
        <v>43492</v>
      </c>
      <c r="I155" s="50">
        <v>0.55972222222222223</v>
      </c>
      <c r="J155" s="46" t="s">
        <v>23</v>
      </c>
      <c r="K155" s="51">
        <v>9</v>
      </c>
      <c r="L155" s="122" t="str">
        <f>IF(AND(Tabla_Ventas[[#This Row],[VENTA TOTAL]]&gt;=30,Tabla_Ventas[[#This Row],[TIPO DE CLIENTE/ Customer type]]="Member"),"PARTICIPA","NO PARTICIPA")</f>
        <v>NO PARTICIPA</v>
      </c>
    </row>
    <row r="156" spans="1:12" ht="19" x14ac:dyDescent="0.25">
      <c r="A156" s="45">
        <v>782959291</v>
      </c>
      <c r="B156" s="46" t="s">
        <v>19</v>
      </c>
      <c r="C156" s="46" t="s">
        <v>13</v>
      </c>
      <c r="D156" s="46" t="s">
        <v>24</v>
      </c>
      <c r="E156" s="47">
        <v>92.29</v>
      </c>
      <c r="F156" s="48">
        <v>5</v>
      </c>
      <c r="G156" s="78">
        <f t="shared" si="2"/>
        <v>461.45000000000005</v>
      </c>
      <c r="H156" s="120">
        <v>43516</v>
      </c>
      <c r="I156" s="50">
        <v>0.66319444444444442</v>
      </c>
      <c r="J156" s="46" t="s">
        <v>15</v>
      </c>
      <c r="K156" s="51">
        <v>9</v>
      </c>
      <c r="L156" s="122" t="str">
        <f>IF(AND(Tabla_Ventas[[#This Row],[VENTA TOTAL]]&gt;=30,Tabla_Ventas[[#This Row],[TIPO DE CLIENTE/ Customer type]]="Member"),"PARTICIPA","NO PARTICIPA")</f>
        <v>PARTICIPA</v>
      </c>
    </row>
    <row r="157" spans="1:12" ht="19" x14ac:dyDescent="0.25">
      <c r="A157" s="45">
        <v>110487033</v>
      </c>
      <c r="B157" s="46" t="s">
        <v>16</v>
      </c>
      <c r="C157" s="46" t="s">
        <v>13</v>
      </c>
      <c r="D157" s="46" t="s">
        <v>22</v>
      </c>
      <c r="E157" s="47">
        <v>32.619999999999997</v>
      </c>
      <c r="F157" s="48">
        <v>4</v>
      </c>
      <c r="G157" s="78">
        <f t="shared" si="2"/>
        <v>130.47999999999999</v>
      </c>
      <c r="H157" s="120">
        <v>43494</v>
      </c>
      <c r="I157" s="50">
        <v>0.59166666666666667</v>
      </c>
      <c r="J157" s="46" t="s">
        <v>23</v>
      </c>
      <c r="K157" s="51">
        <v>9</v>
      </c>
      <c r="L157" s="122" t="str">
        <f>IF(AND(Tabla_Ventas[[#This Row],[VENTA TOTAL]]&gt;=30,Tabla_Ventas[[#This Row],[TIPO DE CLIENTE/ Customer type]]="Member"),"PARTICIPA","NO PARTICIPA")</f>
        <v>PARTICIPA</v>
      </c>
    </row>
    <row r="158" spans="1:12" ht="19" x14ac:dyDescent="0.25">
      <c r="A158" s="45">
        <v>751690068</v>
      </c>
      <c r="B158" s="46" t="s">
        <v>12</v>
      </c>
      <c r="C158" s="46" t="s">
        <v>18</v>
      </c>
      <c r="D158" s="46" t="s">
        <v>14</v>
      </c>
      <c r="E158" s="47">
        <v>99.24</v>
      </c>
      <c r="F158" s="48">
        <v>9</v>
      </c>
      <c r="G158" s="78">
        <f t="shared" si="2"/>
        <v>893.16</v>
      </c>
      <c r="H158" s="120">
        <v>43543</v>
      </c>
      <c r="I158" s="50">
        <v>0.79791666666666661</v>
      </c>
      <c r="J158" s="46" t="s">
        <v>17</v>
      </c>
      <c r="K158" s="51">
        <v>9</v>
      </c>
      <c r="L158" s="122" t="str">
        <f>IF(AND(Tabla_Ventas[[#This Row],[VENTA TOTAL]]&gt;=30,Tabla_Ventas[[#This Row],[TIPO DE CLIENTE/ Customer type]]="Member"),"PARTICIPA","NO PARTICIPA")</f>
        <v>NO PARTICIPA</v>
      </c>
    </row>
    <row r="159" spans="1:12" ht="19" x14ac:dyDescent="0.25">
      <c r="A159" s="45">
        <v>620022046</v>
      </c>
      <c r="B159" s="46" t="s">
        <v>12</v>
      </c>
      <c r="C159" s="46" t="s">
        <v>18</v>
      </c>
      <c r="D159" s="46" t="s">
        <v>25</v>
      </c>
      <c r="E159" s="47">
        <v>69.400000000000006</v>
      </c>
      <c r="F159" s="48">
        <v>2</v>
      </c>
      <c r="G159" s="78">
        <f t="shared" si="2"/>
        <v>138.80000000000001</v>
      </c>
      <c r="H159" s="120">
        <v>43492</v>
      </c>
      <c r="I159" s="50">
        <v>0.82500000000000007</v>
      </c>
      <c r="J159" s="46" t="s">
        <v>17</v>
      </c>
      <c r="K159" s="51">
        <v>9</v>
      </c>
      <c r="L159" s="122" t="str">
        <f>IF(AND(Tabla_Ventas[[#This Row],[VENTA TOTAL]]&gt;=30,Tabla_Ventas[[#This Row],[TIPO DE CLIENTE/ Customer type]]="Member"),"PARTICIPA","NO PARTICIPA")</f>
        <v>NO PARTICIPA</v>
      </c>
    </row>
    <row r="160" spans="1:12" ht="19" x14ac:dyDescent="0.25">
      <c r="A160" s="45">
        <v>286626248</v>
      </c>
      <c r="B160" s="46" t="s">
        <v>16</v>
      </c>
      <c r="C160" s="46" t="s">
        <v>18</v>
      </c>
      <c r="D160" s="46" t="s">
        <v>22</v>
      </c>
      <c r="E160" s="47">
        <v>39.21</v>
      </c>
      <c r="F160" s="48">
        <v>4</v>
      </c>
      <c r="G160" s="78">
        <f t="shared" si="2"/>
        <v>156.84</v>
      </c>
      <c r="H160" s="120">
        <v>43481</v>
      </c>
      <c r="I160" s="50">
        <v>0.8354166666666667</v>
      </c>
      <c r="J160" s="46" t="s">
        <v>15</v>
      </c>
      <c r="K160" s="51">
        <v>9</v>
      </c>
      <c r="L160" s="122" t="str">
        <f>IF(AND(Tabla_Ventas[[#This Row],[VENTA TOTAL]]&gt;=30,Tabla_Ventas[[#This Row],[TIPO DE CLIENTE/ Customer type]]="Member"),"PARTICIPA","NO PARTICIPA")</f>
        <v>NO PARTICIPA</v>
      </c>
    </row>
    <row r="161" spans="1:12" ht="19" x14ac:dyDescent="0.25">
      <c r="A161" s="45">
        <v>514372845</v>
      </c>
      <c r="B161" s="46" t="s">
        <v>16</v>
      </c>
      <c r="C161" s="46" t="s">
        <v>18</v>
      </c>
      <c r="D161" s="46" t="s">
        <v>22</v>
      </c>
      <c r="E161" s="47">
        <v>99.25</v>
      </c>
      <c r="F161" s="48">
        <v>2</v>
      </c>
      <c r="G161" s="78">
        <f t="shared" si="2"/>
        <v>198.5</v>
      </c>
      <c r="H161" s="120">
        <v>43544</v>
      </c>
      <c r="I161" s="50">
        <v>0.54305555555555551</v>
      </c>
      <c r="J161" s="46" t="s">
        <v>23</v>
      </c>
      <c r="K161" s="51">
        <v>9</v>
      </c>
      <c r="L161" s="122" t="str">
        <f>IF(AND(Tabla_Ventas[[#This Row],[VENTA TOTAL]]&gt;=30,Tabla_Ventas[[#This Row],[TIPO DE CLIENTE/ Customer type]]="Member"),"PARTICIPA","NO PARTICIPA")</f>
        <v>NO PARTICIPA</v>
      </c>
    </row>
    <row r="162" spans="1:12" ht="19" x14ac:dyDescent="0.25">
      <c r="A162" s="45">
        <v>284544231</v>
      </c>
      <c r="B162" s="46" t="s">
        <v>16</v>
      </c>
      <c r="C162" s="46" t="s">
        <v>13</v>
      </c>
      <c r="D162" s="46" t="s">
        <v>14</v>
      </c>
      <c r="E162" s="49">
        <v>80.930000000000007</v>
      </c>
      <c r="F162" s="48">
        <v>1</v>
      </c>
      <c r="G162" s="78">
        <f t="shared" si="2"/>
        <v>80.930000000000007</v>
      </c>
      <c r="H162" s="120">
        <v>43484</v>
      </c>
      <c r="I162" s="50">
        <v>0.67222222222222217</v>
      </c>
      <c r="J162" s="46" t="s">
        <v>15</v>
      </c>
      <c r="K162" s="51">
        <v>9</v>
      </c>
      <c r="L162" s="122" t="str">
        <f>IF(AND(Tabla_Ventas[[#This Row],[VENTA TOTAL]]&gt;=30,Tabla_Ventas[[#This Row],[TIPO DE CLIENTE/ Customer type]]="Member"),"PARTICIPA","NO PARTICIPA")</f>
        <v>PARTICIPA</v>
      </c>
    </row>
    <row r="163" spans="1:12" ht="19" x14ac:dyDescent="0.25">
      <c r="A163" s="45">
        <v>137635492</v>
      </c>
      <c r="B163" s="46" t="s">
        <v>16</v>
      </c>
      <c r="C163" s="46" t="s">
        <v>18</v>
      </c>
      <c r="D163" s="46" t="s">
        <v>21</v>
      </c>
      <c r="E163" s="49">
        <v>58.76</v>
      </c>
      <c r="F163" s="48">
        <v>10</v>
      </c>
      <c r="G163" s="78">
        <f t="shared" si="2"/>
        <v>587.6</v>
      </c>
      <c r="H163" s="120">
        <v>43494</v>
      </c>
      <c r="I163" s="50">
        <v>0.60138888888888886</v>
      </c>
      <c r="J163" s="46" t="s">
        <v>17</v>
      </c>
      <c r="K163" s="51">
        <v>9</v>
      </c>
      <c r="L163" s="122" t="str">
        <f>IF(AND(Tabla_Ventas[[#This Row],[VENTA TOTAL]]&gt;=30,Tabla_Ventas[[#This Row],[TIPO DE CLIENTE/ Customer type]]="Member"),"PARTICIPA","NO PARTICIPA")</f>
        <v>NO PARTICIPA</v>
      </c>
    </row>
    <row r="164" spans="1:12" ht="19" x14ac:dyDescent="0.25">
      <c r="A164" s="45">
        <v>314234520</v>
      </c>
      <c r="B164" s="46" t="s">
        <v>16</v>
      </c>
      <c r="C164" s="46" t="s">
        <v>13</v>
      </c>
      <c r="D164" s="46" t="s">
        <v>20</v>
      </c>
      <c r="E164" s="49">
        <v>81.23</v>
      </c>
      <c r="F164" s="48">
        <v>7</v>
      </c>
      <c r="G164" s="78">
        <f t="shared" si="2"/>
        <v>568.61</v>
      </c>
      <c r="H164" s="120">
        <v>43480</v>
      </c>
      <c r="I164" s="50">
        <v>0.86388888888888893</v>
      </c>
      <c r="J164" s="46" t="s">
        <v>23</v>
      </c>
      <c r="K164" s="51">
        <v>9</v>
      </c>
      <c r="L164" s="122" t="str">
        <f>IF(AND(Tabla_Ventas[[#This Row],[VENTA TOTAL]]&gt;=30,Tabla_Ventas[[#This Row],[TIPO DE CLIENTE/ Customer type]]="Member"),"PARTICIPA","NO PARTICIPA")</f>
        <v>PARTICIPA</v>
      </c>
    </row>
    <row r="165" spans="1:12" ht="19" x14ac:dyDescent="0.25">
      <c r="A165" s="45">
        <v>404915964</v>
      </c>
      <c r="B165" s="46" t="s">
        <v>19</v>
      </c>
      <c r="C165" s="46" t="s">
        <v>18</v>
      </c>
      <c r="D165" s="46" t="s">
        <v>21</v>
      </c>
      <c r="E165" s="49">
        <v>74.58</v>
      </c>
      <c r="F165" s="48">
        <v>7</v>
      </c>
      <c r="G165" s="78">
        <f t="shared" si="2"/>
        <v>522.05999999999995</v>
      </c>
      <c r="H165" s="120">
        <v>43500</v>
      </c>
      <c r="I165" s="50">
        <v>0.67291666666666661</v>
      </c>
      <c r="J165" s="46" t="s">
        <v>15</v>
      </c>
      <c r="K165" s="51">
        <v>9</v>
      </c>
      <c r="L165" s="122" t="str">
        <f>IF(AND(Tabla_Ventas[[#This Row],[VENTA TOTAL]]&gt;=30,Tabla_Ventas[[#This Row],[TIPO DE CLIENTE/ Customer type]]="Member"),"PARTICIPA","NO PARTICIPA")</f>
        <v>NO PARTICIPA</v>
      </c>
    </row>
    <row r="166" spans="1:12" ht="19" x14ac:dyDescent="0.25">
      <c r="A166" s="45">
        <v>257607754</v>
      </c>
      <c r="B166" s="46" t="s">
        <v>19</v>
      </c>
      <c r="C166" s="46" t="s">
        <v>18</v>
      </c>
      <c r="D166" s="46" t="s">
        <v>21</v>
      </c>
      <c r="E166" s="49">
        <v>50.23</v>
      </c>
      <c r="F166" s="48">
        <v>4</v>
      </c>
      <c r="G166" s="78">
        <f t="shared" si="2"/>
        <v>200.92</v>
      </c>
      <c r="H166" s="120">
        <v>43473</v>
      </c>
      <c r="I166" s="50">
        <v>0.71666666666666667</v>
      </c>
      <c r="J166" s="46" t="s">
        <v>23</v>
      </c>
      <c r="K166" s="51">
        <v>9</v>
      </c>
      <c r="L166" s="122" t="str">
        <f>IF(AND(Tabla_Ventas[[#This Row],[VENTA TOTAL]]&gt;=30,Tabla_Ventas[[#This Row],[TIPO DE CLIENTE/ Customer type]]="Member"),"PARTICIPA","NO PARTICIPA")</f>
        <v>NO PARTICIPA</v>
      </c>
    </row>
    <row r="167" spans="1:12" ht="19" x14ac:dyDescent="0.25">
      <c r="A167" s="45">
        <v>226340034</v>
      </c>
      <c r="B167" s="46" t="s">
        <v>12</v>
      </c>
      <c r="C167" s="46" t="s">
        <v>18</v>
      </c>
      <c r="D167" s="46" t="s">
        <v>21</v>
      </c>
      <c r="E167" s="49">
        <v>13.78</v>
      </c>
      <c r="F167" s="48">
        <v>4</v>
      </c>
      <c r="G167" s="78">
        <f t="shared" si="2"/>
        <v>55.12</v>
      </c>
      <c r="H167" s="120">
        <v>43475</v>
      </c>
      <c r="I167" s="50">
        <v>0.46527777777777773</v>
      </c>
      <c r="J167" s="46" t="s">
        <v>17</v>
      </c>
      <c r="K167" s="51">
        <v>9</v>
      </c>
      <c r="L167" s="122" t="str">
        <f>IF(AND(Tabla_Ventas[[#This Row],[VENTA TOTAL]]&gt;=30,Tabla_Ventas[[#This Row],[TIPO DE CLIENTE/ Customer type]]="Member"),"PARTICIPA","NO PARTICIPA")</f>
        <v>NO PARTICIPA</v>
      </c>
    </row>
    <row r="168" spans="1:12" ht="19" x14ac:dyDescent="0.25">
      <c r="A168" s="45">
        <v>214302776</v>
      </c>
      <c r="B168" s="46" t="s">
        <v>12</v>
      </c>
      <c r="C168" s="46" t="s">
        <v>13</v>
      </c>
      <c r="D168" s="46" t="s">
        <v>21</v>
      </c>
      <c r="E168" s="49">
        <v>34.49</v>
      </c>
      <c r="F168" s="48">
        <v>5</v>
      </c>
      <c r="G168" s="78">
        <f t="shared" si="2"/>
        <v>172.45000000000002</v>
      </c>
      <c r="H168" s="120">
        <v>43478</v>
      </c>
      <c r="I168" s="50">
        <v>0.8222222222222223</v>
      </c>
      <c r="J168" s="46" t="s">
        <v>15</v>
      </c>
      <c r="K168" s="51">
        <v>9</v>
      </c>
      <c r="L168" s="122" t="str">
        <f>IF(AND(Tabla_Ventas[[#This Row],[VENTA TOTAL]]&gt;=30,Tabla_Ventas[[#This Row],[TIPO DE CLIENTE/ Customer type]]="Member"),"PARTICIPA","NO PARTICIPA")</f>
        <v>PARTICIPA</v>
      </c>
    </row>
    <row r="169" spans="1:12" ht="19" x14ac:dyDescent="0.25">
      <c r="A169" s="45">
        <v>746041077</v>
      </c>
      <c r="B169" s="46" t="s">
        <v>12</v>
      </c>
      <c r="C169" s="46" t="s">
        <v>13</v>
      </c>
      <c r="D169" s="46" t="s">
        <v>24</v>
      </c>
      <c r="E169" s="49">
        <v>84.63</v>
      </c>
      <c r="F169" s="48">
        <v>10</v>
      </c>
      <c r="G169" s="78">
        <f t="shared" si="2"/>
        <v>846.3</v>
      </c>
      <c r="H169" s="120">
        <v>43466</v>
      </c>
      <c r="I169" s="50">
        <v>0.48333333333333334</v>
      </c>
      <c r="J169" s="46" t="s">
        <v>15</v>
      </c>
      <c r="K169" s="51">
        <v>9</v>
      </c>
      <c r="L169" s="122" t="str">
        <f>IF(AND(Tabla_Ventas[[#This Row],[VENTA TOTAL]]&gt;=30,Tabla_Ventas[[#This Row],[TIPO DE CLIENTE/ Customer type]]="Member"),"PARTICIPA","NO PARTICIPA")</f>
        <v>PARTICIPA</v>
      </c>
    </row>
    <row r="170" spans="1:12" ht="19" x14ac:dyDescent="0.25">
      <c r="A170" s="45">
        <v>704116354</v>
      </c>
      <c r="B170" s="46" t="s">
        <v>19</v>
      </c>
      <c r="C170" s="46" t="s">
        <v>13</v>
      </c>
      <c r="D170" s="46" t="s">
        <v>25</v>
      </c>
      <c r="E170" s="47">
        <v>58.9</v>
      </c>
      <c r="F170" s="48">
        <v>8</v>
      </c>
      <c r="G170" s="78">
        <f t="shared" si="2"/>
        <v>471.2</v>
      </c>
      <c r="H170" s="120">
        <v>43471</v>
      </c>
      <c r="I170" s="50">
        <v>0.47430555555555554</v>
      </c>
      <c r="J170" s="46" t="s">
        <v>23</v>
      </c>
      <c r="K170" s="51">
        <v>8.9</v>
      </c>
      <c r="L170" s="122" t="str">
        <f>IF(AND(Tabla_Ventas[[#This Row],[VENTA TOTAL]]&gt;=30,Tabla_Ventas[[#This Row],[TIPO DE CLIENTE/ Customer type]]="Member"),"PARTICIPA","NO PARTICIPA")</f>
        <v>PARTICIPA</v>
      </c>
    </row>
    <row r="171" spans="1:12" ht="19" x14ac:dyDescent="0.25">
      <c r="A171" s="45">
        <v>374173652</v>
      </c>
      <c r="B171" s="46" t="s">
        <v>16</v>
      </c>
      <c r="C171" s="46" t="s">
        <v>13</v>
      </c>
      <c r="D171" s="46" t="s">
        <v>24</v>
      </c>
      <c r="E171" s="47">
        <v>42.82</v>
      </c>
      <c r="F171" s="48">
        <v>9</v>
      </c>
      <c r="G171" s="78">
        <f t="shared" si="2"/>
        <v>385.38</v>
      </c>
      <c r="H171" s="120">
        <v>43587</v>
      </c>
      <c r="I171" s="50">
        <v>0.6430555555555556</v>
      </c>
      <c r="J171" s="46" t="s">
        <v>15</v>
      </c>
      <c r="K171" s="51">
        <v>8.9</v>
      </c>
      <c r="L171" s="122" t="str">
        <f>IF(AND(Tabla_Ventas[[#This Row],[VENTA TOTAL]]&gt;=30,Tabla_Ventas[[#This Row],[TIPO DE CLIENTE/ Customer type]]="Member"),"PARTICIPA","NO PARTICIPA")</f>
        <v>PARTICIPA</v>
      </c>
    </row>
    <row r="172" spans="1:12" ht="19" x14ac:dyDescent="0.25">
      <c r="A172" s="45">
        <v>433756987</v>
      </c>
      <c r="B172" s="46" t="s">
        <v>16</v>
      </c>
      <c r="C172" s="46" t="s">
        <v>13</v>
      </c>
      <c r="D172" s="46" t="s">
        <v>20</v>
      </c>
      <c r="E172" s="47">
        <v>55.97</v>
      </c>
      <c r="F172" s="48">
        <v>7</v>
      </c>
      <c r="G172" s="78">
        <f t="shared" si="2"/>
        <v>391.78999999999996</v>
      </c>
      <c r="H172" s="120">
        <v>43529</v>
      </c>
      <c r="I172" s="50">
        <v>0.79583333333333339</v>
      </c>
      <c r="J172" s="46" t="s">
        <v>17</v>
      </c>
      <c r="K172" s="51">
        <v>8.9</v>
      </c>
      <c r="L172" s="122" t="str">
        <f>IF(AND(Tabla_Ventas[[#This Row],[VENTA TOTAL]]&gt;=30,Tabla_Ventas[[#This Row],[TIPO DE CLIENTE/ Customer type]]="Member"),"PARTICIPA","NO PARTICIPA")</f>
        <v>PARTICIPA</v>
      </c>
    </row>
    <row r="173" spans="1:12" ht="19" x14ac:dyDescent="0.25">
      <c r="A173" s="45">
        <v>382258917</v>
      </c>
      <c r="B173" s="46" t="s">
        <v>12</v>
      </c>
      <c r="C173" s="46" t="s">
        <v>18</v>
      </c>
      <c r="D173" s="46" t="s">
        <v>22</v>
      </c>
      <c r="E173" s="47">
        <v>42.08</v>
      </c>
      <c r="F173" s="48">
        <v>6</v>
      </c>
      <c r="G173" s="78">
        <f t="shared" si="2"/>
        <v>252.48</v>
      </c>
      <c r="H173" s="120">
        <v>43494</v>
      </c>
      <c r="I173" s="50">
        <v>0.51736111111111105</v>
      </c>
      <c r="J173" s="46" t="s">
        <v>23</v>
      </c>
      <c r="K173" s="51">
        <v>8.9</v>
      </c>
      <c r="L173" s="122" t="str">
        <f>IF(AND(Tabla_Ventas[[#This Row],[VENTA TOTAL]]&gt;=30,Tabla_Ventas[[#This Row],[TIPO DE CLIENTE/ Customer type]]="Member"),"PARTICIPA","NO PARTICIPA")</f>
        <v>NO PARTICIPA</v>
      </c>
    </row>
    <row r="174" spans="1:12" ht="19" x14ac:dyDescent="0.25">
      <c r="A174" s="45">
        <v>269108440</v>
      </c>
      <c r="B174" s="46" t="s">
        <v>19</v>
      </c>
      <c r="C174" s="46" t="s">
        <v>13</v>
      </c>
      <c r="D174" s="46" t="s">
        <v>20</v>
      </c>
      <c r="E174" s="47">
        <v>53.17</v>
      </c>
      <c r="F174" s="48">
        <v>7</v>
      </c>
      <c r="G174" s="78">
        <f t="shared" si="2"/>
        <v>372.19</v>
      </c>
      <c r="H174" s="120">
        <v>43486</v>
      </c>
      <c r="I174" s="50">
        <v>0.75069444444444444</v>
      </c>
      <c r="J174" s="46" t="s">
        <v>23</v>
      </c>
      <c r="K174" s="51">
        <v>8.9</v>
      </c>
      <c r="L174" s="122" t="str">
        <f>IF(AND(Tabla_Ventas[[#This Row],[VENTA TOTAL]]&gt;=30,Tabla_Ventas[[#This Row],[TIPO DE CLIENTE/ Customer type]]="Member"),"PARTICIPA","NO PARTICIPA")</f>
        <v>PARTICIPA</v>
      </c>
    </row>
    <row r="175" spans="1:12" ht="19" x14ac:dyDescent="0.25">
      <c r="A175" s="45">
        <v>235468343</v>
      </c>
      <c r="B175" s="46" t="s">
        <v>12</v>
      </c>
      <c r="C175" s="46" t="s">
        <v>13</v>
      </c>
      <c r="D175" s="46" t="s">
        <v>24</v>
      </c>
      <c r="E175" s="47">
        <v>27.66</v>
      </c>
      <c r="F175" s="48">
        <v>10</v>
      </c>
      <c r="G175" s="78">
        <f t="shared" si="2"/>
        <v>276.60000000000002</v>
      </c>
      <c r="H175" s="120">
        <v>43510</v>
      </c>
      <c r="I175" s="50">
        <v>0.47638888888888892</v>
      </c>
      <c r="J175" s="46" t="s">
        <v>15</v>
      </c>
      <c r="K175" s="51">
        <v>8.9</v>
      </c>
      <c r="L175" s="122" t="str">
        <f>IF(AND(Tabla_Ventas[[#This Row],[VENTA TOTAL]]&gt;=30,Tabla_Ventas[[#This Row],[TIPO DE CLIENTE/ Customer type]]="Member"),"PARTICIPA","NO PARTICIPA")</f>
        <v>PARTICIPA</v>
      </c>
    </row>
    <row r="176" spans="1:12" ht="19" x14ac:dyDescent="0.25">
      <c r="A176" s="45">
        <v>401188016</v>
      </c>
      <c r="B176" s="46" t="s">
        <v>16</v>
      </c>
      <c r="C176" s="46" t="s">
        <v>13</v>
      </c>
      <c r="D176" s="46" t="s">
        <v>14</v>
      </c>
      <c r="E176" s="47">
        <v>98.13</v>
      </c>
      <c r="F176" s="48">
        <v>1</v>
      </c>
      <c r="G176" s="78">
        <f t="shared" si="2"/>
        <v>98.13</v>
      </c>
      <c r="H176" s="120">
        <v>43486</v>
      </c>
      <c r="I176" s="50">
        <v>0.73333333333333339</v>
      </c>
      <c r="J176" s="46" t="s">
        <v>23</v>
      </c>
      <c r="K176" s="51">
        <v>8.9</v>
      </c>
      <c r="L176" s="122" t="str">
        <f>IF(AND(Tabla_Ventas[[#This Row],[VENTA TOTAL]]&gt;=30,Tabla_Ventas[[#This Row],[TIPO DE CLIENTE/ Customer type]]="Member"),"PARTICIPA","NO PARTICIPA")</f>
        <v>PARTICIPA</v>
      </c>
    </row>
    <row r="177" spans="1:12" ht="19" x14ac:dyDescent="0.25">
      <c r="A177" s="45">
        <v>647501224</v>
      </c>
      <c r="B177" s="46" t="s">
        <v>19</v>
      </c>
      <c r="C177" s="46" t="s">
        <v>18</v>
      </c>
      <c r="D177" s="46" t="s">
        <v>22</v>
      </c>
      <c r="E177" s="47">
        <v>29.42</v>
      </c>
      <c r="F177" s="48">
        <v>10</v>
      </c>
      <c r="G177" s="78">
        <f t="shared" si="2"/>
        <v>294.20000000000005</v>
      </c>
      <c r="H177" s="120">
        <v>43477</v>
      </c>
      <c r="I177" s="50">
        <v>0.68263888888888891</v>
      </c>
      <c r="J177" s="46" t="s">
        <v>17</v>
      </c>
      <c r="K177" s="51">
        <v>8.9</v>
      </c>
      <c r="L177" s="122" t="str">
        <f>IF(AND(Tabla_Ventas[[#This Row],[VENTA TOTAL]]&gt;=30,Tabla_Ventas[[#This Row],[TIPO DE CLIENTE/ Customer type]]="Member"),"PARTICIPA","NO PARTICIPA")</f>
        <v>NO PARTICIPA</v>
      </c>
    </row>
    <row r="178" spans="1:12" ht="19" x14ac:dyDescent="0.25">
      <c r="A178" s="45">
        <v>582528065</v>
      </c>
      <c r="B178" s="46" t="s">
        <v>16</v>
      </c>
      <c r="C178" s="46" t="s">
        <v>18</v>
      </c>
      <c r="D178" s="46" t="s">
        <v>22</v>
      </c>
      <c r="E178" s="47">
        <v>54.31</v>
      </c>
      <c r="F178" s="48">
        <v>9</v>
      </c>
      <c r="G178" s="78">
        <f t="shared" si="2"/>
        <v>488.79</v>
      </c>
      <c r="H178" s="120">
        <v>43518</v>
      </c>
      <c r="I178" s="50">
        <v>0.45069444444444445</v>
      </c>
      <c r="J178" s="46" t="s">
        <v>23</v>
      </c>
      <c r="K178" s="51">
        <v>8.9</v>
      </c>
      <c r="L178" s="122" t="str">
        <f>IF(AND(Tabla_Ventas[[#This Row],[VENTA TOTAL]]&gt;=30,Tabla_Ventas[[#This Row],[TIPO DE CLIENTE/ Customer type]]="Member"),"PARTICIPA","NO PARTICIPA")</f>
        <v>NO PARTICIPA</v>
      </c>
    </row>
    <row r="179" spans="1:12" ht="19" x14ac:dyDescent="0.25">
      <c r="A179" s="45">
        <v>349978902</v>
      </c>
      <c r="B179" s="46" t="s">
        <v>12</v>
      </c>
      <c r="C179" s="46" t="s">
        <v>13</v>
      </c>
      <c r="D179" s="46" t="s">
        <v>24</v>
      </c>
      <c r="E179" s="49">
        <v>57.89</v>
      </c>
      <c r="F179" s="48">
        <v>2</v>
      </c>
      <c r="G179" s="78">
        <f t="shared" si="2"/>
        <v>115.78</v>
      </c>
      <c r="H179" s="120">
        <v>43482</v>
      </c>
      <c r="I179" s="50">
        <v>0.44236111111111115</v>
      </c>
      <c r="J179" s="46" t="s">
        <v>17</v>
      </c>
      <c r="K179" s="51">
        <v>8.9</v>
      </c>
      <c r="L179" s="122" t="str">
        <f>IF(AND(Tabla_Ventas[[#This Row],[VENTA TOTAL]]&gt;=30,Tabla_Ventas[[#This Row],[TIPO DE CLIENTE/ Customer type]]="Member"),"PARTICIPA","NO PARTICIPA")</f>
        <v>PARTICIPA</v>
      </c>
    </row>
    <row r="180" spans="1:12" ht="19" x14ac:dyDescent="0.25">
      <c r="A180" s="45">
        <v>186799562</v>
      </c>
      <c r="B180" s="46" t="s">
        <v>12</v>
      </c>
      <c r="C180" s="46" t="s">
        <v>18</v>
      </c>
      <c r="D180" s="46" t="s">
        <v>20</v>
      </c>
      <c r="E180" s="49">
        <v>71.77</v>
      </c>
      <c r="F180" s="48">
        <v>7</v>
      </c>
      <c r="G180" s="78">
        <f t="shared" si="2"/>
        <v>502.39</v>
      </c>
      <c r="H180" s="120">
        <v>43553</v>
      </c>
      <c r="I180" s="50">
        <v>0.58750000000000002</v>
      </c>
      <c r="J180" s="46" t="s">
        <v>23</v>
      </c>
      <c r="K180" s="51">
        <v>8.9</v>
      </c>
      <c r="L180" s="122" t="str">
        <f>IF(AND(Tabla_Ventas[[#This Row],[VENTA TOTAL]]&gt;=30,Tabla_Ventas[[#This Row],[TIPO DE CLIENTE/ Customer type]]="Member"),"PARTICIPA","NO PARTICIPA")</f>
        <v>NO PARTICIPA</v>
      </c>
    </row>
    <row r="181" spans="1:12" ht="19" x14ac:dyDescent="0.25">
      <c r="A181" s="45">
        <v>174640215</v>
      </c>
      <c r="B181" s="46" t="s">
        <v>12</v>
      </c>
      <c r="C181" s="46" t="s">
        <v>18</v>
      </c>
      <c r="D181" s="46" t="s">
        <v>14</v>
      </c>
      <c r="E181" s="49">
        <v>69.739999999999995</v>
      </c>
      <c r="F181" s="48">
        <v>10</v>
      </c>
      <c r="G181" s="78">
        <f t="shared" si="2"/>
        <v>697.4</v>
      </c>
      <c r="H181" s="120">
        <v>43529</v>
      </c>
      <c r="I181" s="50">
        <v>0.74236111111111114</v>
      </c>
      <c r="J181" s="46" t="s">
        <v>15</v>
      </c>
      <c r="K181" s="51">
        <v>8.9</v>
      </c>
      <c r="L181" s="122" t="str">
        <f>IF(AND(Tabla_Ventas[[#This Row],[VENTA TOTAL]]&gt;=30,Tabla_Ventas[[#This Row],[TIPO DE CLIENTE/ Customer type]]="Member"),"PARTICIPA","NO PARTICIPA")</f>
        <v>NO PARTICIPA</v>
      </c>
    </row>
    <row r="182" spans="1:12" ht="19" x14ac:dyDescent="0.25">
      <c r="A182" s="45">
        <v>438231242</v>
      </c>
      <c r="B182" s="46" t="s">
        <v>12</v>
      </c>
      <c r="C182" s="46" t="s">
        <v>18</v>
      </c>
      <c r="D182" s="46" t="s">
        <v>21</v>
      </c>
      <c r="E182" s="49">
        <v>75.88</v>
      </c>
      <c r="F182" s="48">
        <v>7</v>
      </c>
      <c r="G182" s="78">
        <f t="shared" si="2"/>
        <v>531.16</v>
      </c>
      <c r="H182" s="120">
        <v>43489</v>
      </c>
      <c r="I182" s="50">
        <v>0.44305555555555554</v>
      </c>
      <c r="J182" s="46" t="s">
        <v>17</v>
      </c>
      <c r="K182" s="51">
        <v>8.9</v>
      </c>
      <c r="L182" s="122" t="str">
        <f>IF(AND(Tabla_Ventas[[#This Row],[VENTA TOTAL]]&gt;=30,Tabla_Ventas[[#This Row],[TIPO DE CLIENTE/ Customer type]]="Member"),"PARTICIPA","NO PARTICIPA")</f>
        <v>NO PARTICIPA</v>
      </c>
    </row>
    <row r="183" spans="1:12" ht="19" x14ac:dyDescent="0.25">
      <c r="A183" s="45">
        <v>549239016</v>
      </c>
      <c r="B183" s="46" t="s">
        <v>16</v>
      </c>
      <c r="C183" s="46" t="s">
        <v>13</v>
      </c>
      <c r="D183" s="46" t="s">
        <v>24</v>
      </c>
      <c r="E183" s="49">
        <v>14.87</v>
      </c>
      <c r="F183" s="48">
        <v>2</v>
      </c>
      <c r="G183" s="78">
        <f t="shared" si="2"/>
        <v>29.74</v>
      </c>
      <c r="H183" s="120">
        <v>43509</v>
      </c>
      <c r="I183" s="50">
        <v>0.76041666666666663</v>
      </c>
      <c r="J183" s="46" t="s">
        <v>15</v>
      </c>
      <c r="K183" s="51">
        <v>8.9</v>
      </c>
      <c r="L183" s="122" t="str">
        <f>IF(AND(Tabla_Ventas[[#This Row],[VENTA TOTAL]]&gt;=30,Tabla_Ventas[[#This Row],[TIPO DE CLIENTE/ Customer type]]="Member"),"PARTICIPA","NO PARTICIPA")</f>
        <v>NO PARTICIPA</v>
      </c>
    </row>
    <row r="184" spans="1:12" ht="19" x14ac:dyDescent="0.25">
      <c r="A184" s="45">
        <v>811351094</v>
      </c>
      <c r="B184" s="46" t="s">
        <v>12</v>
      </c>
      <c r="C184" s="46" t="s">
        <v>13</v>
      </c>
      <c r="D184" s="46" t="s">
        <v>21</v>
      </c>
      <c r="E184" s="49">
        <v>50.45</v>
      </c>
      <c r="F184" s="48">
        <v>6</v>
      </c>
      <c r="G184" s="78">
        <f t="shared" si="2"/>
        <v>302.70000000000005</v>
      </c>
      <c r="H184" s="120">
        <v>43502</v>
      </c>
      <c r="I184" s="50">
        <v>0.63611111111111118</v>
      </c>
      <c r="J184" s="46" t="s">
        <v>15</v>
      </c>
      <c r="K184" s="51">
        <v>8.9</v>
      </c>
      <c r="L184" s="122" t="str">
        <f>IF(AND(Tabla_Ventas[[#This Row],[VENTA TOTAL]]&gt;=30,Tabla_Ventas[[#This Row],[TIPO DE CLIENTE/ Customer type]]="Member"),"PARTICIPA","NO PARTICIPA")</f>
        <v>PARTICIPA</v>
      </c>
    </row>
    <row r="185" spans="1:12" ht="19" x14ac:dyDescent="0.25">
      <c r="A185" s="45">
        <v>365164334</v>
      </c>
      <c r="B185" s="46" t="s">
        <v>12</v>
      </c>
      <c r="C185" s="46" t="s">
        <v>18</v>
      </c>
      <c r="D185" s="46" t="s">
        <v>24</v>
      </c>
      <c r="E185" s="49">
        <v>26.43</v>
      </c>
      <c r="F185" s="48">
        <v>8</v>
      </c>
      <c r="G185" s="78">
        <f t="shared" si="2"/>
        <v>211.44</v>
      </c>
      <c r="H185" s="120">
        <v>43520</v>
      </c>
      <c r="I185" s="50">
        <v>0.60138888888888886</v>
      </c>
      <c r="J185" s="46" t="s">
        <v>17</v>
      </c>
      <c r="K185" s="51">
        <v>8.9</v>
      </c>
      <c r="L185" s="122" t="str">
        <f>IF(AND(Tabla_Ventas[[#This Row],[VENTA TOTAL]]&gt;=30,Tabla_Ventas[[#This Row],[TIPO DE CLIENTE/ Customer type]]="Member"),"PARTICIPA","NO PARTICIPA")</f>
        <v>NO PARTICIPA</v>
      </c>
    </row>
    <row r="186" spans="1:12" ht="19" x14ac:dyDescent="0.25">
      <c r="A186" s="45">
        <v>590834591</v>
      </c>
      <c r="B186" s="46" t="s">
        <v>16</v>
      </c>
      <c r="C186" s="46" t="s">
        <v>13</v>
      </c>
      <c r="D186" s="46" t="s">
        <v>21</v>
      </c>
      <c r="E186" s="47">
        <v>87.45</v>
      </c>
      <c r="F186" s="48">
        <v>6</v>
      </c>
      <c r="G186" s="78">
        <f t="shared" si="2"/>
        <v>524.70000000000005</v>
      </c>
      <c r="H186" s="120">
        <v>43513</v>
      </c>
      <c r="I186" s="50">
        <v>0.61111111111111105</v>
      </c>
      <c r="J186" s="46" t="s">
        <v>15</v>
      </c>
      <c r="K186" s="51">
        <v>8.8000000000000007</v>
      </c>
      <c r="L186" s="122" t="str">
        <f>IF(AND(Tabla_Ventas[[#This Row],[VENTA TOTAL]]&gt;=30,Tabla_Ventas[[#This Row],[TIPO DE CLIENTE/ Customer type]]="Member"),"PARTICIPA","NO PARTICIPA")</f>
        <v>PARTICIPA</v>
      </c>
    </row>
    <row r="187" spans="1:12" ht="19" x14ac:dyDescent="0.25">
      <c r="A187" s="45">
        <v>700811757</v>
      </c>
      <c r="B187" s="46" t="s">
        <v>19</v>
      </c>
      <c r="C187" s="46" t="s">
        <v>18</v>
      </c>
      <c r="D187" s="46" t="s">
        <v>21</v>
      </c>
      <c r="E187" s="47">
        <v>26.31</v>
      </c>
      <c r="F187" s="48">
        <v>5</v>
      </c>
      <c r="G187" s="78">
        <f t="shared" si="2"/>
        <v>131.54999999999998</v>
      </c>
      <c r="H187" s="120">
        <v>43483</v>
      </c>
      <c r="I187" s="50">
        <v>0.87430555555555556</v>
      </c>
      <c r="J187" s="46" t="s">
        <v>15</v>
      </c>
      <c r="K187" s="51">
        <v>8.8000000000000007</v>
      </c>
      <c r="L187" s="122" t="str">
        <f>IF(AND(Tabla_Ventas[[#This Row],[VENTA TOTAL]]&gt;=30,Tabla_Ventas[[#This Row],[TIPO DE CLIENTE/ Customer type]]="Member"),"PARTICIPA","NO PARTICIPA")</f>
        <v>NO PARTICIPA</v>
      </c>
    </row>
    <row r="188" spans="1:12" ht="19" x14ac:dyDescent="0.25">
      <c r="A188" s="45">
        <v>827262100</v>
      </c>
      <c r="B188" s="46" t="s">
        <v>19</v>
      </c>
      <c r="C188" s="46" t="s">
        <v>13</v>
      </c>
      <c r="D188" s="46" t="s">
        <v>25</v>
      </c>
      <c r="E188" s="47">
        <v>33.840000000000003</v>
      </c>
      <c r="F188" s="48">
        <v>9</v>
      </c>
      <c r="G188" s="78">
        <f t="shared" si="2"/>
        <v>304.56000000000006</v>
      </c>
      <c r="H188" s="120">
        <v>43488</v>
      </c>
      <c r="I188" s="50">
        <v>0.68125000000000002</v>
      </c>
      <c r="J188" s="46" t="s">
        <v>17</v>
      </c>
      <c r="K188" s="51">
        <v>8.8000000000000007</v>
      </c>
      <c r="L188" s="122" t="str">
        <f>IF(AND(Tabla_Ventas[[#This Row],[VENTA TOTAL]]&gt;=30,Tabla_Ventas[[#This Row],[TIPO DE CLIENTE/ Customer type]]="Member"),"PARTICIPA","NO PARTICIPA")</f>
        <v>PARTICIPA</v>
      </c>
    </row>
    <row r="189" spans="1:12" ht="19" x14ac:dyDescent="0.25">
      <c r="A189" s="45">
        <v>677110152</v>
      </c>
      <c r="B189" s="46" t="s">
        <v>12</v>
      </c>
      <c r="C189" s="46" t="s">
        <v>18</v>
      </c>
      <c r="D189" s="46" t="s">
        <v>24</v>
      </c>
      <c r="E189" s="47">
        <v>93.26</v>
      </c>
      <c r="F189" s="48">
        <v>9</v>
      </c>
      <c r="G189" s="78">
        <f t="shared" si="2"/>
        <v>839.34</v>
      </c>
      <c r="H189" s="120">
        <v>43481</v>
      </c>
      <c r="I189" s="50">
        <v>0.75555555555555554</v>
      </c>
      <c r="J189" s="46" t="s">
        <v>23</v>
      </c>
      <c r="K189" s="51">
        <v>8.8000000000000007</v>
      </c>
      <c r="L189" s="122" t="str">
        <f>IF(AND(Tabla_Ventas[[#This Row],[VENTA TOTAL]]&gt;=30,Tabla_Ventas[[#This Row],[TIPO DE CLIENTE/ Customer type]]="Member"),"PARTICIPA","NO PARTICIPA")</f>
        <v>NO PARTICIPA</v>
      </c>
    </row>
    <row r="190" spans="1:12" ht="19" x14ac:dyDescent="0.25">
      <c r="A190" s="45">
        <v>799711548</v>
      </c>
      <c r="B190" s="46" t="s">
        <v>19</v>
      </c>
      <c r="C190" s="46" t="s">
        <v>13</v>
      </c>
      <c r="D190" s="46" t="s">
        <v>21</v>
      </c>
      <c r="E190" s="47">
        <v>77.72</v>
      </c>
      <c r="F190" s="48">
        <v>4</v>
      </c>
      <c r="G190" s="78">
        <f t="shared" si="2"/>
        <v>310.88</v>
      </c>
      <c r="H190" s="120">
        <v>43472</v>
      </c>
      <c r="I190" s="50">
        <v>0.6743055555555556</v>
      </c>
      <c r="J190" s="46" t="s">
        <v>15</v>
      </c>
      <c r="K190" s="51">
        <v>8.8000000000000007</v>
      </c>
      <c r="L190" s="122" t="str">
        <f>IF(AND(Tabla_Ventas[[#This Row],[VENTA TOTAL]]&gt;=30,Tabla_Ventas[[#This Row],[TIPO DE CLIENTE/ Customer type]]="Member"),"PARTICIPA","NO PARTICIPA")</f>
        <v>PARTICIPA</v>
      </c>
    </row>
    <row r="191" spans="1:12" ht="19" x14ac:dyDescent="0.25">
      <c r="A191" s="45">
        <v>126541082</v>
      </c>
      <c r="B191" s="46" t="s">
        <v>19</v>
      </c>
      <c r="C191" s="46" t="s">
        <v>13</v>
      </c>
      <c r="D191" s="46" t="s">
        <v>25</v>
      </c>
      <c r="E191" s="47">
        <v>21.54</v>
      </c>
      <c r="F191" s="48">
        <v>9</v>
      </c>
      <c r="G191" s="78">
        <f t="shared" si="2"/>
        <v>193.85999999999999</v>
      </c>
      <c r="H191" s="120">
        <v>43472</v>
      </c>
      <c r="I191" s="50">
        <v>0.48888888888888887</v>
      </c>
      <c r="J191" s="46" t="s">
        <v>15</v>
      </c>
      <c r="K191" s="51">
        <v>8.8000000000000007</v>
      </c>
      <c r="L191" s="122" t="str">
        <f>IF(AND(Tabla_Ventas[[#This Row],[VENTA TOTAL]]&gt;=30,Tabla_Ventas[[#This Row],[TIPO DE CLIENTE/ Customer type]]="Member"),"PARTICIPA","NO PARTICIPA")</f>
        <v>PARTICIPA</v>
      </c>
    </row>
    <row r="192" spans="1:12" ht="19" x14ac:dyDescent="0.25">
      <c r="A192" s="45">
        <v>689051884</v>
      </c>
      <c r="B192" s="46" t="s">
        <v>19</v>
      </c>
      <c r="C192" s="46" t="s">
        <v>13</v>
      </c>
      <c r="D192" s="46" t="s">
        <v>20</v>
      </c>
      <c r="E192" s="49">
        <v>48.63</v>
      </c>
      <c r="F192" s="48">
        <v>10</v>
      </c>
      <c r="G192" s="78">
        <f t="shared" si="2"/>
        <v>486.3</v>
      </c>
      <c r="H192" s="120">
        <v>43528</v>
      </c>
      <c r="I192" s="50">
        <v>0.53055555555555556</v>
      </c>
      <c r="J192" s="46" t="s">
        <v>23</v>
      </c>
      <c r="K192" s="51">
        <v>8.8000000000000007</v>
      </c>
      <c r="L192" s="122" t="str">
        <f>IF(AND(Tabla_Ventas[[#This Row],[VENTA TOTAL]]&gt;=30,Tabla_Ventas[[#This Row],[TIPO DE CLIENTE/ Customer type]]="Member"),"PARTICIPA","NO PARTICIPA")</f>
        <v>PARTICIPA</v>
      </c>
    </row>
    <row r="193" spans="1:12" ht="19" x14ac:dyDescent="0.25">
      <c r="A193" s="45">
        <v>451732711</v>
      </c>
      <c r="B193" s="46" t="s">
        <v>16</v>
      </c>
      <c r="C193" s="46" t="s">
        <v>18</v>
      </c>
      <c r="D193" s="46" t="s">
        <v>24</v>
      </c>
      <c r="E193" s="49">
        <v>84.83</v>
      </c>
      <c r="F193" s="48">
        <v>1</v>
      </c>
      <c r="G193" s="78">
        <f t="shared" si="2"/>
        <v>84.83</v>
      </c>
      <c r="H193" s="120">
        <v>43479</v>
      </c>
      <c r="I193" s="50">
        <v>0.63888888888888895</v>
      </c>
      <c r="J193" s="46" t="s">
        <v>17</v>
      </c>
      <c r="K193" s="51">
        <v>8.8000000000000007</v>
      </c>
      <c r="L193" s="122" t="str">
        <f>IF(AND(Tabla_Ventas[[#This Row],[VENTA TOTAL]]&gt;=30,Tabla_Ventas[[#This Row],[TIPO DE CLIENTE/ Customer type]]="Member"),"PARTICIPA","NO PARTICIPA")</f>
        <v>NO PARTICIPA</v>
      </c>
    </row>
    <row r="194" spans="1:12" ht="19" x14ac:dyDescent="0.25">
      <c r="A194" s="45">
        <v>373140504</v>
      </c>
      <c r="B194" s="46" t="s">
        <v>19</v>
      </c>
      <c r="C194" s="46" t="s">
        <v>13</v>
      </c>
      <c r="D194" s="46" t="s">
        <v>14</v>
      </c>
      <c r="E194" s="49">
        <v>71.63</v>
      </c>
      <c r="F194" s="48">
        <v>2</v>
      </c>
      <c r="G194" s="78">
        <f t="shared" si="2"/>
        <v>143.26</v>
      </c>
      <c r="H194" s="120">
        <v>43508</v>
      </c>
      <c r="I194" s="50">
        <v>0.60625000000000007</v>
      </c>
      <c r="J194" s="46" t="s">
        <v>17</v>
      </c>
      <c r="K194" s="51">
        <v>8.8000000000000007</v>
      </c>
      <c r="L194" s="122" t="str">
        <f>IF(AND(Tabla_Ventas[[#This Row],[VENTA TOTAL]]&gt;=30,Tabla_Ventas[[#This Row],[TIPO DE CLIENTE/ Customer type]]="Member"),"PARTICIPA","NO PARTICIPA")</f>
        <v>PARTICIPA</v>
      </c>
    </row>
    <row r="195" spans="1:12" ht="19" x14ac:dyDescent="0.25">
      <c r="A195" s="45">
        <v>468997231</v>
      </c>
      <c r="B195" s="46" t="s">
        <v>16</v>
      </c>
      <c r="C195" s="46" t="s">
        <v>18</v>
      </c>
      <c r="D195" s="46" t="s">
        <v>25</v>
      </c>
      <c r="E195" s="49">
        <v>44.01</v>
      </c>
      <c r="F195" s="48">
        <v>8</v>
      </c>
      <c r="G195" s="78">
        <f t="shared" si="2"/>
        <v>352.08</v>
      </c>
      <c r="H195" s="120">
        <v>43527</v>
      </c>
      <c r="I195" s="50">
        <v>0.73333333333333339</v>
      </c>
      <c r="J195" s="46" t="s">
        <v>23</v>
      </c>
      <c r="K195" s="51">
        <v>8.8000000000000007</v>
      </c>
      <c r="L195" s="122" t="str">
        <f>IF(AND(Tabla_Ventas[[#This Row],[VENTA TOTAL]]&gt;=30,Tabla_Ventas[[#This Row],[TIPO DE CLIENTE/ Customer type]]="Member"),"PARTICIPA","NO PARTICIPA")</f>
        <v>NO PARTICIPA</v>
      </c>
    </row>
    <row r="196" spans="1:12" ht="19" x14ac:dyDescent="0.25">
      <c r="A196" s="45">
        <v>160222687</v>
      </c>
      <c r="B196" s="46" t="s">
        <v>19</v>
      </c>
      <c r="C196" s="46" t="s">
        <v>13</v>
      </c>
      <c r="D196" s="46" t="s">
        <v>20</v>
      </c>
      <c r="E196" s="49">
        <v>95.95</v>
      </c>
      <c r="F196" s="48">
        <v>5</v>
      </c>
      <c r="G196" s="78">
        <f t="shared" ref="G196:G259" si="3">F196*E196</f>
        <v>479.75</v>
      </c>
      <c r="H196" s="120">
        <v>43488</v>
      </c>
      <c r="I196" s="50">
        <v>0.59791666666666665</v>
      </c>
      <c r="J196" s="46" t="s">
        <v>17</v>
      </c>
      <c r="K196" s="51">
        <v>8.8000000000000007</v>
      </c>
      <c r="L196" s="122" t="str">
        <f>IF(AND(Tabla_Ventas[[#This Row],[VENTA TOTAL]]&gt;=30,Tabla_Ventas[[#This Row],[TIPO DE CLIENTE/ Customer type]]="Member"),"PARTICIPA","NO PARTICIPA")</f>
        <v>PARTICIPA</v>
      </c>
    </row>
    <row r="197" spans="1:12" ht="19" x14ac:dyDescent="0.25">
      <c r="A197" s="45">
        <v>409496995</v>
      </c>
      <c r="B197" s="46" t="s">
        <v>16</v>
      </c>
      <c r="C197" s="46" t="s">
        <v>13</v>
      </c>
      <c r="D197" s="46" t="s">
        <v>24</v>
      </c>
      <c r="E197" s="49">
        <v>47.27</v>
      </c>
      <c r="F197" s="48">
        <v>6</v>
      </c>
      <c r="G197" s="78">
        <f t="shared" si="3"/>
        <v>283.62</v>
      </c>
      <c r="H197" s="120">
        <v>43501</v>
      </c>
      <c r="I197" s="50">
        <v>0.4284722222222222</v>
      </c>
      <c r="J197" s="46" t="s">
        <v>23</v>
      </c>
      <c r="K197" s="51">
        <v>8.8000000000000007</v>
      </c>
      <c r="L197" s="122" t="str">
        <f>IF(AND(Tabla_Ventas[[#This Row],[VENTA TOTAL]]&gt;=30,Tabla_Ventas[[#This Row],[TIPO DE CLIENTE/ Customer type]]="Member"),"PARTICIPA","NO PARTICIPA")</f>
        <v>PARTICIPA</v>
      </c>
    </row>
    <row r="198" spans="1:12" ht="19" x14ac:dyDescent="0.25">
      <c r="A198" s="45">
        <v>450423339</v>
      </c>
      <c r="B198" s="46" t="s">
        <v>16</v>
      </c>
      <c r="C198" s="46" t="s">
        <v>18</v>
      </c>
      <c r="D198" s="46" t="s">
        <v>20</v>
      </c>
      <c r="E198" s="49">
        <v>84.61</v>
      </c>
      <c r="F198" s="48">
        <v>10</v>
      </c>
      <c r="G198" s="78">
        <f t="shared" si="3"/>
        <v>846.1</v>
      </c>
      <c r="H198" s="120">
        <v>43505</v>
      </c>
      <c r="I198" s="50">
        <v>0.79027777777777775</v>
      </c>
      <c r="J198" s="46" t="s">
        <v>15</v>
      </c>
      <c r="K198" s="51">
        <v>8.8000000000000007</v>
      </c>
      <c r="L198" s="122" t="str">
        <f>IF(AND(Tabla_Ventas[[#This Row],[VENTA TOTAL]]&gt;=30,Tabla_Ventas[[#This Row],[TIPO DE CLIENTE/ Customer type]]="Member"),"PARTICIPA","NO PARTICIPA")</f>
        <v>NO PARTICIPA</v>
      </c>
    </row>
    <row r="199" spans="1:12" ht="19" x14ac:dyDescent="0.25">
      <c r="A199" s="45">
        <v>745740715</v>
      </c>
      <c r="B199" s="46" t="s">
        <v>19</v>
      </c>
      <c r="C199" s="46" t="s">
        <v>18</v>
      </c>
      <c r="D199" s="46" t="s">
        <v>21</v>
      </c>
      <c r="E199" s="49">
        <v>58.03</v>
      </c>
      <c r="F199" s="48">
        <v>2</v>
      </c>
      <c r="G199" s="78">
        <f t="shared" si="3"/>
        <v>116.06</v>
      </c>
      <c r="H199" s="120">
        <v>43534</v>
      </c>
      <c r="I199" s="50">
        <v>0.8652777777777777</v>
      </c>
      <c r="J199" s="46" t="s">
        <v>17</v>
      </c>
      <c r="K199" s="51">
        <v>8.8000000000000007</v>
      </c>
      <c r="L199" s="122" t="str">
        <f>IF(AND(Tabla_Ventas[[#This Row],[VENTA TOTAL]]&gt;=30,Tabla_Ventas[[#This Row],[TIPO DE CLIENTE/ Customer type]]="Member"),"PARTICIPA","NO PARTICIPA")</f>
        <v>NO PARTICIPA</v>
      </c>
    </row>
    <row r="200" spans="1:12" ht="19" x14ac:dyDescent="0.25">
      <c r="A200" s="45">
        <v>841356630</v>
      </c>
      <c r="B200" s="46" t="s">
        <v>12</v>
      </c>
      <c r="C200" s="46" t="s">
        <v>18</v>
      </c>
      <c r="D200" s="46" t="s">
        <v>21</v>
      </c>
      <c r="E200" s="47">
        <v>75.91</v>
      </c>
      <c r="F200" s="48">
        <v>6</v>
      </c>
      <c r="G200" s="78">
        <f t="shared" si="3"/>
        <v>455.46</v>
      </c>
      <c r="H200" s="120">
        <v>43533</v>
      </c>
      <c r="I200" s="50">
        <v>0.76458333333333339</v>
      </c>
      <c r="J200" s="46" t="s">
        <v>23</v>
      </c>
      <c r="K200" s="51">
        <v>8.6999999999999993</v>
      </c>
      <c r="L200" s="122" t="str">
        <f>IF(AND(Tabla_Ventas[[#This Row],[VENTA TOTAL]]&gt;=30,Tabla_Ventas[[#This Row],[TIPO DE CLIENTE/ Customer type]]="Member"),"PARTICIPA","NO PARTICIPA")</f>
        <v>NO PARTICIPA</v>
      </c>
    </row>
    <row r="201" spans="1:12" ht="19" x14ac:dyDescent="0.25">
      <c r="A201" s="45">
        <v>687478271</v>
      </c>
      <c r="B201" s="46" t="s">
        <v>19</v>
      </c>
      <c r="C201" s="46" t="s">
        <v>18</v>
      </c>
      <c r="D201" s="46" t="s">
        <v>22</v>
      </c>
      <c r="E201" s="47">
        <v>98.98</v>
      </c>
      <c r="F201" s="48">
        <v>10</v>
      </c>
      <c r="G201" s="78">
        <f t="shared" si="3"/>
        <v>989.80000000000007</v>
      </c>
      <c r="H201" s="120">
        <v>43679</v>
      </c>
      <c r="I201" s="50">
        <v>0.68055555555555547</v>
      </c>
      <c r="J201" s="46" t="s">
        <v>15</v>
      </c>
      <c r="K201" s="51">
        <v>8.6999999999999993</v>
      </c>
      <c r="L201" s="122" t="str">
        <f>IF(AND(Tabla_Ventas[[#This Row],[VENTA TOTAL]]&gt;=30,Tabla_Ventas[[#This Row],[TIPO DE CLIENTE/ Customer type]]="Member"),"PARTICIPA","NO PARTICIPA")</f>
        <v>NO PARTICIPA</v>
      </c>
    </row>
    <row r="202" spans="1:12" ht="19" x14ac:dyDescent="0.25">
      <c r="A202" s="45">
        <v>414127047</v>
      </c>
      <c r="B202" s="46" t="s">
        <v>16</v>
      </c>
      <c r="C202" s="46" t="s">
        <v>18</v>
      </c>
      <c r="D202" s="46" t="s">
        <v>24</v>
      </c>
      <c r="E202" s="47">
        <v>19.79</v>
      </c>
      <c r="F202" s="48">
        <v>8</v>
      </c>
      <c r="G202" s="78">
        <f t="shared" si="3"/>
        <v>158.32</v>
      </c>
      <c r="H202" s="120">
        <v>43483</v>
      </c>
      <c r="I202" s="50">
        <v>0.50277777777777777</v>
      </c>
      <c r="J202" s="46" t="s">
        <v>17</v>
      </c>
      <c r="K202" s="51">
        <v>8.6999999999999993</v>
      </c>
      <c r="L202" s="122" t="str">
        <f>IF(AND(Tabla_Ventas[[#This Row],[VENTA TOTAL]]&gt;=30,Tabla_Ventas[[#This Row],[TIPO DE CLIENTE/ Customer type]]="Member"),"PARTICIPA","NO PARTICIPA")</f>
        <v>NO PARTICIPA</v>
      </c>
    </row>
    <row r="203" spans="1:12" ht="19" x14ac:dyDescent="0.25">
      <c r="A203" s="45">
        <v>875465808</v>
      </c>
      <c r="B203" s="46" t="s">
        <v>16</v>
      </c>
      <c r="C203" s="46" t="s">
        <v>13</v>
      </c>
      <c r="D203" s="46" t="s">
        <v>20</v>
      </c>
      <c r="E203" s="47">
        <v>25.9</v>
      </c>
      <c r="F203" s="48">
        <v>10</v>
      </c>
      <c r="G203" s="78">
        <f t="shared" si="3"/>
        <v>259</v>
      </c>
      <c r="H203" s="120">
        <v>43618</v>
      </c>
      <c r="I203" s="50">
        <v>0.61875000000000002</v>
      </c>
      <c r="J203" s="46" t="s">
        <v>17</v>
      </c>
      <c r="K203" s="51">
        <v>8.6999999999999993</v>
      </c>
      <c r="L203" s="122" t="str">
        <f>IF(AND(Tabla_Ventas[[#This Row],[VENTA TOTAL]]&gt;=30,Tabla_Ventas[[#This Row],[TIPO DE CLIENTE/ Customer type]]="Member"),"PARTICIPA","NO PARTICIPA")</f>
        <v>PARTICIPA</v>
      </c>
    </row>
    <row r="204" spans="1:12" ht="19" x14ac:dyDescent="0.25">
      <c r="A204" s="45">
        <v>549039315</v>
      </c>
      <c r="B204" s="46" t="s">
        <v>16</v>
      </c>
      <c r="C204" s="46" t="s">
        <v>18</v>
      </c>
      <c r="D204" s="46" t="s">
        <v>22</v>
      </c>
      <c r="E204" s="47">
        <v>94.87</v>
      </c>
      <c r="F204" s="48">
        <v>8</v>
      </c>
      <c r="G204" s="78">
        <f t="shared" si="3"/>
        <v>758.96</v>
      </c>
      <c r="H204" s="120">
        <v>43801</v>
      </c>
      <c r="I204" s="50">
        <v>0.54027777777777775</v>
      </c>
      <c r="J204" s="46" t="s">
        <v>17</v>
      </c>
      <c r="K204" s="51">
        <v>8.6999999999999993</v>
      </c>
      <c r="L204" s="122" t="str">
        <f>IF(AND(Tabla_Ventas[[#This Row],[VENTA TOTAL]]&gt;=30,Tabla_Ventas[[#This Row],[TIPO DE CLIENTE/ Customer type]]="Member"),"PARTICIPA","NO PARTICIPA")</f>
        <v>NO PARTICIPA</v>
      </c>
    </row>
    <row r="205" spans="1:12" ht="19" x14ac:dyDescent="0.25">
      <c r="A205" s="45">
        <v>545463100</v>
      </c>
      <c r="B205" s="46" t="s">
        <v>16</v>
      </c>
      <c r="C205" s="46" t="s">
        <v>13</v>
      </c>
      <c r="D205" s="46" t="s">
        <v>21</v>
      </c>
      <c r="E205" s="47">
        <v>10.59</v>
      </c>
      <c r="F205" s="48">
        <v>3</v>
      </c>
      <c r="G205" s="78">
        <f t="shared" si="3"/>
        <v>31.77</v>
      </c>
      <c r="H205" s="120">
        <v>43509</v>
      </c>
      <c r="I205" s="50">
        <v>0.57777777777777783</v>
      </c>
      <c r="J205" s="46" t="s">
        <v>15</v>
      </c>
      <c r="K205" s="51">
        <v>8.6999999999999993</v>
      </c>
      <c r="L205" s="122" t="str">
        <f>IF(AND(Tabla_Ventas[[#This Row],[VENTA TOTAL]]&gt;=30,Tabla_Ventas[[#This Row],[TIPO DE CLIENTE/ Customer type]]="Member"),"PARTICIPA","NO PARTICIPA")</f>
        <v>PARTICIPA</v>
      </c>
    </row>
    <row r="206" spans="1:12" ht="19" x14ac:dyDescent="0.25">
      <c r="A206" s="45">
        <v>729099681</v>
      </c>
      <c r="B206" s="46" t="s">
        <v>19</v>
      </c>
      <c r="C206" s="46" t="s">
        <v>13</v>
      </c>
      <c r="D206" s="46" t="s">
        <v>25</v>
      </c>
      <c r="E206" s="47">
        <v>25.91</v>
      </c>
      <c r="F206" s="48">
        <v>6</v>
      </c>
      <c r="G206" s="78">
        <f t="shared" si="3"/>
        <v>155.46</v>
      </c>
      <c r="H206" s="120">
        <v>43587</v>
      </c>
      <c r="I206" s="50">
        <v>0.42777777777777781</v>
      </c>
      <c r="J206" s="46" t="s">
        <v>17</v>
      </c>
      <c r="K206" s="51">
        <v>8.6999999999999993</v>
      </c>
      <c r="L206" s="122" t="str">
        <f>IF(AND(Tabla_Ventas[[#This Row],[VENTA TOTAL]]&gt;=30,Tabla_Ventas[[#This Row],[TIPO DE CLIENTE/ Customer type]]="Member"),"PARTICIPA","NO PARTICIPA")</f>
        <v>PARTICIPA</v>
      </c>
    </row>
    <row r="207" spans="1:12" ht="19" x14ac:dyDescent="0.25">
      <c r="A207" s="45">
        <v>253126086</v>
      </c>
      <c r="B207" s="46" t="s">
        <v>19</v>
      </c>
      <c r="C207" s="46" t="s">
        <v>13</v>
      </c>
      <c r="D207" s="46" t="s">
        <v>14</v>
      </c>
      <c r="E207" s="47">
        <v>98.4</v>
      </c>
      <c r="F207" s="48">
        <v>7</v>
      </c>
      <c r="G207" s="78">
        <f t="shared" si="3"/>
        <v>688.80000000000007</v>
      </c>
      <c r="H207" s="120">
        <v>43509</v>
      </c>
      <c r="I207" s="50">
        <v>0.52986111111111112</v>
      </c>
      <c r="J207" s="46" t="s">
        <v>15</v>
      </c>
      <c r="K207" s="51">
        <v>8.6999999999999993</v>
      </c>
      <c r="L207" s="122" t="str">
        <f>IF(AND(Tabla_Ventas[[#This Row],[VENTA TOTAL]]&gt;=30,Tabla_Ventas[[#This Row],[TIPO DE CLIENTE/ Customer type]]="Member"),"PARTICIPA","NO PARTICIPA")</f>
        <v>PARTICIPA</v>
      </c>
    </row>
    <row r="208" spans="1:12" ht="19" x14ac:dyDescent="0.25">
      <c r="A208" s="45">
        <v>743881662</v>
      </c>
      <c r="B208" s="46" t="s">
        <v>12</v>
      </c>
      <c r="C208" s="46" t="s">
        <v>18</v>
      </c>
      <c r="D208" s="46" t="s">
        <v>14</v>
      </c>
      <c r="E208" s="47">
        <v>95.49</v>
      </c>
      <c r="F208" s="48">
        <v>7</v>
      </c>
      <c r="G208" s="78">
        <f t="shared" si="3"/>
        <v>668.43</v>
      </c>
      <c r="H208" s="120">
        <v>43518</v>
      </c>
      <c r="I208" s="50">
        <v>0.76180555555555562</v>
      </c>
      <c r="J208" s="46" t="s">
        <v>17</v>
      </c>
      <c r="K208" s="51">
        <v>8.6999999999999993</v>
      </c>
      <c r="L208" s="122" t="str">
        <f>IF(AND(Tabla_Ventas[[#This Row],[VENTA TOTAL]]&gt;=30,Tabla_Ventas[[#This Row],[TIPO DE CLIENTE/ Customer type]]="Member"),"PARTICIPA","NO PARTICIPA")</f>
        <v>NO PARTICIPA</v>
      </c>
    </row>
    <row r="209" spans="1:12" ht="19" x14ac:dyDescent="0.25">
      <c r="A209" s="45">
        <v>750579686</v>
      </c>
      <c r="B209" s="46" t="s">
        <v>12</v>
      </c>
      <c r="C209" s="46" t="s">
        <v>18</v>
      </c>
      <c r="D209" s="46" t="s">
        <v>25</v>
      </c>
      <c r="E209" s="47">
        <v>45.38</v>
      </c>
      <c r="F209" s="48">
        <v>4</v>
      </c>
      <c r="G209" s="78">
        <f t="shared" si="3"/>
        <v>181.52</v>
      </c>
      <c r="H209" s="120">
        <v>43678</v>
      </c>
      <c r="I209" s="50">
        <v>0.57500000000000007</v>
      </c>
      <c r="J209" s="46" t="s">
        <v>15</v>
      </c>
      <c r="K209" s="51">
        <v>8.6999999999999993</v>
      </c>
      <c r="L209" s="122" t="str">
        <f>IF(AND(Tabla_Ventas[[#This Row],[VENTA TOTAL]]&gt;=30,Tabla_Ventas[[#This Row],[TIPO DE CLIENTE/ Customer type]]="Member"),"PARTICIPA","NO PARTICIPA")</f>
        <v>NO PARTICIPA</v>
      </c>
    </row>
    <row r="210" spans="1:12" ht="19" x14ac:dyDescent="0.25">
      <c r="A210" s="45">
        <v>271888734</v>
      </c>
      <c r="B210" s="46" t="s">
        <v>12</v>
      </c>
      <c r="C210" s="46" t="s">
        <v>13</v>
      </c>
      <c r="D210" s="46" t="s">
        <v>22</v>
      </c>
      <c r="E210" s="47">
        <v>97.21</v>
      </c>
      <c r="F210" s="48">
        <v>10</v>
      </c>
      <c r="G210" s="78">
        <f t="shared" si="3"/>
        <v>972.09999999999991</v>
      </c>
      <c r="H210" s="120">
        <v>43679</v>
      </c>
      <c r="I210" s="50">
        <v>0.54166666666666663</v>
      </c>
      <c r="J210" s="46" t="s">
        <v>15</v>
      </c>
      <c r="K210" s="51">
        <v>8.6999999999999993</v>
      </c>
      <c r="L210" s="122" t="str">
        <f>IF(AND(Tabla_Ventas[[#This Row],[VENTA TOTAL]]&gt;=30,Tabla_Ventas[[#This Row],[TIPO DE CLIENTE/ Customer type]]="Member"),"PARTICIPA","NO PARTICIPA")</f>
        <v>PARTICIPA</v>
      </c>
    </row>
    <row r="211" spans="1:12" ht="19" x14ac:dyDescent="0.25">
      <c r="A211" s="45">
        <v>234034040</v>
      </c>
      <c r="B211" s="46" t="s">
        <v>16</v>
      </c>
      <c r="C211" s="46" t="s">
        <v>13</v>
      </c>
      <c r="D211" s="46" t="s">
        <v>24</v>
      </c>
      <c r="E211" s="47">
        <v>73.05</v>
      </c>
      <c r="F211" s="48">
        <v>10</v>
      </c>
      <c r="G211" s="78">
        <f t="shared" si="3"/>
        <v>730.5</v>
      </c>
      <c r="H211" s="120">
        <v>43527</v>
      </c>
      <c r="I211" s="50">
        <v>0.51736111111111105</v>
      </c>
      <c r="J211" s="46" t="s">
        <v>15</v>
      </c>
      <c r="K211" s="51">
        <v>8.6999999999999993</v>
      </c>
      <c r="L211" s="122" t="str">
        <f>IF(AND(Tabla_Ventas[[#This Row],[VENTA TOTAL]]&gt;=30,Tabla_Ventas[[#This Row],[TIPO DE CLIENTE/ Customer type]]="Member"),"PARTICIPA","NO PARTICIPA")</f>
        <v>PARTICIPA</v>
      </c>
    </row>
    <row r="212" spans="1:12" ht="19" x14ac:dyDescent="0.25">
      <c r="A212" s="45">
        <v>608043797</v>
      </c>
      <c r="B212" s="46" t="s">
        <v>16</v>
      </c>
      <c r="C212" s="46" t="s">
        <v>13</v>
      </c>
      <c r="D212" s="46" t="s">
        <v>20</v>
      </c>
      <c r="E212" s="47">
        <v>25.32</v>
      </c>
      <c r="F212" s="48">
        <v>8</v>
      </c>
      <c r="G212" s="78">
        <f t="shared" si="3"/>
        <v>202.56</v>
      </c>
      <c r="H212" s="120">
        <v>43529</v>
      </c>
      <c r="I212" s="50">
        <v>0.85</v>
      </c>
      <c r="J212" s="46" t="s">
        <v>17</v>
      </c>
      <c r="K212" s="51">
        <v>8.6999999999999993</v>
      </c>
      <c r="L212" s="122" t="str">
        <f>IF(AND(Tabla_Ventas[[#This Row],[VENTA TOTAL]]&gt;=30,Tabla_Ventas[[#This Row],[TIPO DE CLIENTE/ Customer type]]="Member"),"PARTICIPA","NO PARTICIPA")</f>
        <v>PARTICIPA</v>
      </c>
    </row>
    <row r="213" spans="1:12" ht="19" x14ac:dyDescent="0.25">
      <c r="A213" s="45">
        <v>521187827</v>
      </c>
      <c r="B213" s="46" t="s">
        <v>12</v>
      </c>
      <c r="C213" s="46" t="s">
        <v>13</v>
      </c>
      <c r="D213" s="46" t="s">
        <v>25</v>
      </c>
      <c r="E213" s="47">
        <v>39.39</v>
      </c>
      <c r="F213" s="48">
        <v>5</v>
      </c>
      <c r="G213" s="78">
        <f t="shared" si="3"/>
        <v>196.95</v>
      </c>
      <c r="H213" s="120">
        <v>43487</v>
      </c>
      <c r="I213" s="50">
        <v>0.8652777777777777</v>
      </c>
      <c r="J213" s="46" t="s">
        <v>15</v>
      </c>
      <c r="K213" s="51">
        <v>8.6999999999999993</v>
      </c>
      <c r="L213" s="122" t="str">
        <f>IF(AND(Tabla_Ventas[[#This Row],[VENTA TOTAL]]&gt;=30,Tabla_Ventas[[#This Row],[TIPO DE CLIENTE/ Customer type]]="Member"),"PARTICIPA","NO PARTICIPA")</f>
        <v>PARTICIPA</v>
      </c>
    </row>
    <row r="214" spans="1:12" ht="19" x14ac:dyDescent="0.25">
      <c r="A214" s="45">
        <v>470313286</v>
      </c>
      <c r="B214" s="46" t="s">
        <v>16</v>
      </c>
      <c r="C214" s="46" t="s">
        <v>18</v>
      </c>
      <c r="D214" s="46" t="s">
        <v>20</v>
      </c>
      <c r="E214" s="47">
        <v>14.82</v>
      </c>
      <c r="F214" s="48">
        <v>3</v>
      </c>
      <c r="G214" s="78">
        <f t="shared" si="3"/>
        <v>44.46</v>
      </c>
      <c r="H214" s="120">
        <v>43468</v>
      </c>
      <c r="I214" s="50">
        <v>0.47916666666666669</v>
      </c>
      <c r="J214" s="46" t="s">
        <v>15</v>
      </c>
      <c r="K214" s="51">
        <v>8.6999999999999993</v>
      </c>
      <c r="L214" s="122" t="str">
        <f>IF(AND(Tabla_Ventas[[#This Row],[VENTA TOTAL]]&gt;=30,Tabla_Ventas[[#This Row],[TIPO DE CLIENTE/ Customer type]]="Member"),"PARTICIPA","NO PARTICIPA")</f>
        <v>NO PARTICIPA</v>
      </c>
    </row>
    <row r="215" spans="1:12" ht="19" x14ac:dyDescent="0.25">
      <c r="A215" s="45">
        <v>816572053</v>
      </c>
      <c r="B215" s="46" t="s">
        <v>19</v>
      </c>
      <c r="C215" s="46" t="s">
        <v>18</v>
      </c>
      <c r="D215" s="46" t="s">
        <v>14</v>
      </c>
      <c r="E215" s="49">
        <v>60.87</v>
      </c>
      <c r="F215" s="48">
        <v>2</v>
      </c>
      <c r="G215" s="78">
        <f t="shared" si="3"/>
        <v>121.74</v>
      </c>
      <c r="H215" s="120">
        <v>43533</v>
      </c>
      <c r="I215" s="50">
        <v>0.52569444444444446</v>
      </c>
      <c r="J215" s="46" t="s">
        <v>17</v>
      </c>
      <c r="K215" s="51">
        <v>8.6999999999999993</v>
      </c>
      <c r="L215" s="122" t="str">
        <f>IF(AND(Tabla_Ventas[[#This Row],[VENTA TOTAL]]&gt;=30,Tabla_Ventas[[#This Row],[TIPO DE CLIENTE/ Customer type]]="Member"),"PARTICIPA","NO PARTICIPA")</f>
        <v>NO PARTICIPA</v>
      </c>
    </row>
    <row r="216" spans="1:12" ht="19" x14ac:dyDescent="0.25">
      <c r="A216" s="45">
        <v>706366154</v>
      </c>
      <c r="B216" s="46" t="s">
        <v>19</v>
      </c>
      <c r="C216" s="46" t="s">
        <v>13</v>
      </c>
      <c r="D216" s="46" t="s">
        <v>25</v>
      </c>
      <c r="E216" s="49">
        <v>19.36</v>
      </c>
      <c r="F216" s="48">
        <v>9</v>
      </c>
      <c r="G216" s="78">
        <f t="shared" si="3"/>
        <v>174.24</v>
      </c>
      <c r="H216" s="120">
        <v>43483</v>
      </c>
      <c r="I216" s="50">
        <v>0.77986111111111101</v>
      </c>
      <c r="J216" s="46" t="s">
        <v>17</v>
      </c>
      <c r="K216" s="51">
        <v>8.6999999999999993</v>
      </c>
      <c r="L216" s="122" t="str">
        <f>IF(AND(Tabla_Ventas[[#This Row],[VENTA TOTAL]]&gt;=30,Tabla_Ventas[[#This Row],[TIPO DE CLIENTE/ Customer type]]="Member"),"PARTICIPA","NO PARTICIPA")</f>
        <v>PARTICIPA</v>
      </c>
    </row>
    <row r="217" spans="1:12" ht="19" x14ac:dyDescent="0.25">
      <c r="A217" s="45">
        <v>276756884</v>
      </c>
      <c r="B217" s="46" t="s">
        <v>19</v>
      </c>
      <c r="C217" s="46" t="s">
        <v>18</v>
      </c>
      <c r="D217" s="46" t="s">
        <v>20</v>
      </c>
      <c r="E217" s="49">
        <v>68.709999999999994</v>
      </c>
      <c r="F217" s="48">
        <v>3</v>
      </c>
      <c r="G217" s="78">
        <f t="shared" si="3"/>
        <v>206.13</v>
      </c>
      <c r="H217" s="120">
        <v>43528</v>
      </c>
      <c r="I217" s="50">
        <v>0.4201388888888889</v>
      </c>
      <c r="J217" s="46" t="s">
        <v>23</v>
      </c>
      <c r="K217" s="51">
        <v>8.6999999999999993</v>
      </c>
      <c r="L217" s="122" t="str">
        <f>IF(AND(Tabla_Ventas[[#This Row],[VENTA TOTAL]]&gt;=30,Tabla_Ventas[[#This Row],[TIPO DE CLIENTE/ Customer type]]="Member"),"PARTICIPA","NO PARTICIPA")</f>
        <v>NO PARTICIPA</v>
      </c>
    </row>
    <row r="218" spans="1:12" ht="19" x14ac:dyDescent="0.25">
      <c r="A218" s="45">
        <v>777672495</v>
      </c>
      <c r="B218" s="46" t="s">
        <v>12</v>
      </c>
      <c r="C218" s="46" t="s">
        <v>18</v>
      </c>
      <c r="D218" s="46" t="s">
        <v>25</v>
      </c>
      <c r="E218" s="49">
        <v>68.97</v>
      </c>
      <c r="F218" s="48">
        <v>3</v>
      </c>
      <c r="G218" s="78">
        <f t="shared" si="3"/>
        <v>206.91</v>
      </c>
      <c r="H218" s="120">
        <v>43518</v>
      </c>
      <c r="I218" s="50">
        <v>0.47638888888888892</v>
      </c>
      <c r="J218" s="46" t="s">
        <v>17</v>
      </c>
      <c r="K218" s="51">
        <v>8.6999999999999993</v>
      </c>
      <c r="L218" s="122" t="str">
        <f>IF(AND(Tabla_Ventas[[#This Row],[VENTA TOTAL]]&gt;=30,Tabla_Ventas[[#This Row],[TIPO DE CLIENTE/ Customer type]]="Member"),"PARTICIPA","NO PARTICIPA")</f>
        <v>NO PARTICIPA</v>
      </c>
    </row>
    <row r="219" spans="1:12" ht="19" x14ac:dyDescent="0.25">
      <c r="A219" s="45">
        <v>574801489</v>
      </c>
      <c r="B219" s="46" t="s">
        <v>12</v>
      </c>
      <c r="C219" s="46" t="s">
        <v>13</v>
      </c>
      <c r="D219" s="46" t="s">
        <v>24</v>
      </c>
      <c r="E219" s="49">
        <v>62.85</v>
      </c>
      <c r="F219" s="48">
        <v>4</v>
      </c>
      <c r="G219" s="78">
        <f t="shared" si="3"/>
        <v>251.4</v>
      </c>
      <c r="H219" s="120">
        <v>43521</v>
      </c>
      <c r="I219" s="50">
        <v>0.55694444444444446</v>
      </c>
      <c r="J219" s="46" t="s">
        <v>17</v>
      </c>
      <c r="K219" s="51">
        <v>8.6999999999999993</v>
      </c>
      <c r="L219" s="122" t="str">
        <f>IF(AND(Tabla_Ventas[[#This Row],[VENTA TOTAL]]&gt;=30,Tabla_Ventas[[#This Row],[TIPO DE CLIENTE/ Customer type]]="Member"),"PARTICIPA","NO PARTICIPA")</f>
        <v>PARTICIPA</v>
      </c>
    </row>
    <row r="220" spans="1:12" ht="19" x14ac:dyDescent="0.25">
      <c r="A220" s="45">
        <v>329621586</v>
      </c>
      <c r="B220" s="46" t="s">
        <v>19</v>
      </c>
      <c r="C220" s="46" t="s">
        <v>18</v>
      </c>
      <c r="D220" s="46" t="s">
        <v>24</v>
      </c>
      <c r="E220" s="47">
        <v>54.67</v>
      </c>
      <c r="F220" s="48">
        <v>3</v>
      </c>
      <c r="G220" s="78">
        <f t="shared" si="3"/>
        <v>164.01</v>
      </c>
      <c r="H220" s="120">
        <v>43486</v>
      </c>
      <c r="I220" s="50">
        <v>0.75</v>
      </c>
      <c r="J220" s="46" t="s">
        <v>15</v>
      </c>
      <c r="K220" s="51">
        <v>8.6</v>
      </c>
      <c r="L220" s="122" t="str">
        <f>IF(AND(Tabla_Ventas[[#This Row],[VENTA TOTAL]]&gt;=30,Tabla_Ventas[[#This Row],[TIPO DE CLIENTE/ Customer type]]="Member"),"PARTICIPA","NO PARTICIPA")</f>
        <v>NO PARTICIPA</v>
      </c>
    </row>
    <row r="221" spans="1:12" ht="19" x14ac:dyDescent="0.25">
      <c r="A221" s="45">
        <v>199758169</v>
      </c>
      <c r="B221" s="46" t="s">
        <v>19</v>
      </c>
      <c r="C221" s="46" t="s">
        <v>13</v>
      </c>
      <c r="D221" s="46" t="s">
        <v>14</v>
      </c>
      <c r="E221" s="47">
        <v>15.81</v>
      </c>
      <c r="F221" s="48">
        <v>10</v>
      </c>
      <c r="G221" s="78">
        <f t="shared" si="3"/>
        <v>158.1</v>
      </c>
      <c r="H221" s="120">
        <v>43530</v>
      </c>
      <c r="I221" s="50">
        <v>0.51874999999999993</v>
      </c>
      <c r="J221" s="46" t="s">
        <v>15</v>
      </c>
      <c r="K221" s="51">
        <v>8.6</v>
      </c>
      <c r="L221" s="122" t="str">
        <f>IF(AND(Tabla_Ventas[[#This Row],[VENTA TOTAL]]&gt;=30,Tabla_Ventas[[#This Row],[TIPO DE CLIENTE/ Customer type]]="Member"),"PARTICIPA","NO PARTICIPA")</f>
        <v>PARTICIPA</v>
      </c>
    </row>
    <row r="222" spans="1:12" ht="19" x14ac:dyDescent="0.25">
      <c r="A222" s="45">
        <v>263103913</v>
      </c>
      <c r="B222" s="46" t="s">
        <v>12</v>
      </c>
      <c r="C222" s="46" t="s">
        <v>13</v>
      </c>
      <c r="D222" s="46" t="s">
        <v>22</v>
      </c>
      <c r="E222" s="47">
        <v>49.04</v>
      </c>
      <c r="F222" s="48">
        <v>9</v>
      </c>
      <c r="G222" s="78">
        <f t="shared" si="3"/>
        <v>441.36</v>
      </c>
      <c r="H222" s="120">
        <v>43709</v>
      </c>
      <c r="I222" s="50">
        <v>0.59722222222222221</v>
      </c>
      <c r="J222" s="46" t="s">
        <v>15</v>
      </c>
      <c r="K222" s="51">
        <v>8.6</v>
      </c>
      <c r="L222" s="122" t="str">
        <f>IF(AND(Tabla_Ventas[[#This Row],[VENTA TOTAL]]&gt;=30,Tabla_Ventas[[#This Row],[TIPO DE CLIENTE/ Customer type]]="Member"),"PARTICIPA","NO PARTICIPA")</f>
        <v>PARTICIPA</v>
      </c>
    </row>
    <row r="223" spans="1:12" ht="19" x14ac:dyDescent="0.25">
      <c r="A223" s="45">
        <v>152089985</v>
      </c>
      <c r="B223" s="46" t="s">
        <v>16</v>
      </c>
      <c r="C223" s="46" t="s">
        <v>13</v>
      </c>
      <c r="D223" s="46" t="s">
        <v>20</v>
      </c>
      <c r="E223" s="47">
        <v>64.36</v>
      </c>
      <c r="F223" s="48">
        <v>9</v>
      </c>
      <c r="G223" s="78">
        <f t="shared" si="3"/>
        <v>579.24</v>
      </c>
      <c r="H223" s="120">
        <v>43509</v>
      </c>
      <c r="I223" s="50">
        <v>0.50624999999999998</v>
      </c>
      <c r="J223" s="46" t="s">
        <v>15</v>
      </c>
      <c r="K223" s="51">
        <v>8.6</v>
      </c>
      <c r="L223" s="122" t="str">
        <f>IF(AND(Tabla_Ventas[[#This Row],[VENTA TOTAL]]&gt;=30,Tabla_Ventas[[#This Row],[TIPO DE CLIENTE/ Customer type]]="Member"),"PARTICIPA","NO PARTICIPA")</f>
        <v>PARTICIPA</v>
      </c>
    </row>
    <row r="224" spans="1:12" ht="19" x14ac:dyDescent="0.25">
      <c r="A224" s="45">
        <v>755123214</v>
      </c>
      <c r="B224" s="46" t="s">
        <v>12</v>
      </c>
      <c r="C224" s="46" t="s">
        <v>13</v>
      </c>
      <c r="D224" s="46" t="s">
        <v>22</v>
      </c>
      <c r="E224" s="47">
        <v>44.22</v>
      </c>
      <c r="F224" s="48">
        <v>5</v>
      </c>
      <c r="G224" s="78">
        <f t="shared" si="3"/>
        <v>221.1</v>
      </c>
      <c r="H224" s="120">
        <v>43529</v>
      </c>
      <c r="I224" s="50">
        <v>0.71319444444444446</v>
      </c>
      <c r="J224" s="46" t="s">
        <v>15</v>
      </c>
      <c r="K224" s="51">
        <v>8.6</v>
      </c>
      <c r="L224" s="122" t="str">
        <f>IF(AND(Tabla_Ventas[[#This Row],[VENTA TOTAL]]&gt;=30,Tabla_Ventas[[#This Row],[TIPO DE CLIENTE/ Customer type]]="Member"),"PARTICIPA","NO PARTICIPA")</f>
        <v>PARTICIPA</v>
      </c>
    </row>
    <row r="225" spans="1:12" ht="19" x14ac:dyDescent="0.25">
      <c r="A225" s="45">
        <v>396902219</v>
      </c>
      <c r="B225" s="46" t="s">
        <v>16</v>
      </c>
      <c r="C225" s="46" t="s">
        <v>18</v>
      </c>
      <c r="D225" s="46" t="s">
        <v>21</v>
      </c>
      <c r="E225" s="47">
        <v>14.96</v>
      </c>
      <c r="F225" s="48">
        <v>8</v>
      </c>
      <c r="G225" s="78">
        <f t="shared" si="3"/>
        <v>119.68</v>
      </c>
      <c r="H225" s="120">
        <v>43519</v>
      </c>
      <c r="I225" s="50">
        <v>0.52013888888888882</v>
      </c>
      <c r="J225" s="46" t="s">
        <v>23</v>
      </c>
      <c r="K225" s="51">
        <v>8.6</v>
      </c>
      <c r="L225" s="122" t="str">
        <f>IF(AND(Tabla_Ventas[[#This Row],[VENTA TOTAL]]&gt;=30,Tabla_Ventas[[#This Row],[TIPO DE CLIENTE/ Customer type]]="Member"),"PARTICIPA","NO PARTICIPA")</f>
        <v>NO PARTICIPA</v>
      </c>
    </row>
    <row r="226" spans="1:12" ht="19" x14ac:dyDescent="0.25">
      <c r="A226" s="45">
        <v>719763868</v>
      </c>
      <c r="B226" s="46" t="s">
        <v>12</v>
      </c>
      <c r="C226" s="46" t="s">
        <v>13</v>
      </c>
      <c r="D226" s="46" t="s">
        <v>24</v>
      </c>
      <c r="E226" s="47">
        <v>94.26</v>
      </c>
      <c r="F226" s="48">
        <v>4</v>
      </c>
      <c r="G226" s="78">
        <f t="shared" si="3"/>
        <v>377.04</v>
      </c>
      <c r="H226" s="120">
        <v>43509</v>
      </c>
      <c r="I226" s="50">
        <v>0.6875</v>
      </c>
      <c r="J226" s="46" t="s">
        <v>23</v>
      </c>
      <c r="K226" s="51">
        <v>8.6</v>
      </c>
      <c r="L226" s="122" t="str">
        <f>IF(AND(Tabla_Ventas[[#This Row],[VENTA TOTAL]]&gt;=30,Tabla_Ventas[[#This Row],[TIPO DE CLIENTE/ Customer type]]="Member"),"PARTICIPA","NO PARTICIPA")</f>
        <v>PARTICIPA</v>
      </c>
    </row>
    <row r="227" spans="1:12" ht="19" x14ac:dyDescent="0.25">
      <c r="A227" s="45">
        <v>399694630</v>
      </c>
      <c r="B227" s="46" t="s">
        <v>12</v>
      </c>
      <c r="C227" s="46" t="s">
        <v>18</v>
      </c>
      <c r="D227" s="46" t="s">
        <v>21</v>
      </c>
      <c r="E227" s="47">
        <v>22.21</v>
      </c>
      <c r="F227" s="48">
        <v>6</v>
      </c>
      <c r="G227" s="78">
        <f t="shared" si="3"/>
        <v>133.26</v>
      </c>
      <c r="H227" s="120">
        <v>43531</v>
      </c>
      <c r="I227" s="50">
        <v>0.43263888888888885</v>
      </c>
      <c r="J227" s="46" t="s">
        <v>15</v>
      </c>
      <c r="K227" s="51">
        <v>8.6</v>
      </c>
      <c r="L227" s="122" t="str">
        <f>IF(AND(Tabla_Ventas[[#This Row],[VENTA TOTAL]]&gt;=30,Tabla_Ventas[[#This Row],[TIPO DE CLIENTE/ Customer type]]="Member"),"PARTICIPA","NO PARTICIPA")</f>
        <v>NO PARTICIPA</v>
      </c>
    </row>
    <row r="228" spans="1:12" ht="19" x14ac:dyDescent="0.25">
      <c r="A228" s="45">
        <v>343613544</v>
      </c>
      <c r="B228" s="46" t="s">
        <v>16</v>
      </c>
      <c r="C228" s="46" t="s">
        <v>13</v>
      </c>
      <c r="D228" s="46" t="s">
        <v>14</v>
      </c>
      <c r="E228" s="47">
        <v>26.67</v>
      </c>
      <c r="F228" s="48">
        <v>10</v>
      </c>
      <c r="G228" s="78">
        <f t="shared" si="3"/>
        <v>266.70000000000005</v>
      </c>
      <c r="H228" s="120">
        <v>43494</v>
      </c>
      <c r="I228" s="50">
        <v>0.4916666666666667</v>
      </c>
      <c r="J228" s="46" t="s">
        <v>23</v>
      </c>
      <c r="K228" s="51">
        <v>8.6</v>
      </c>
      <c r="L228" s="122" t="str">
        <f>IF(AND(Tabla_Ventas[[#This Row],[VENTA TOTAL]]&gt;=30,Tabla_Ventas[[#This Row],[TIPO DE CLIENTE/ Customer type]]="Member"),"PARTICIPA","NO PARTICIPA")</f>
        <v>PARTICIPA</v>
      </c>
    </row>
    <row r="229" spans="1:12" ht="19" x14ac:dyDescent="0.25">
      <c r="A229" s="45">
        <v>550848664</v>
      </c>
      <c r="B229" s="46" t="s">
        <v>19</v>
      </c>
      <c r="C229" s="46" t="s">
        <v>18</v>
      </c>
      <c r="D229" s="46" t="s">
        <v>14</v>
      </c>
      <c r="E229" s="47">
        <v>85.91</v>
      </c>
      <c r="F229" s="48">
        <v>5</v>
      </c>
      <c r="G229" s="78">
        <f t="shared" si="3"/>
        <v>429.54999999999995</v>
      </c>
      <c r="H229" s="120">
        <v>43519</v>
      </c>
      <c r="I229" s="50">
        <v>0.60625000000000007</v>
      </c>
      <c r="J229" s="46" t="s">
        <v>15</v>
      </c>
      <c r="K229" s="51">
        <v>8.6</v>
      </c>
      <c r="L229" s="122" t="str">
        <f>IF(AND(Tabla_Ventas[[#This Row],[VENTA TOTAL]]&gt;=30,Tabla_Ventas[[#This Row],[TIPO DE CLIENTE/ Customer type]]="Member"),"PARTICIPA","NO PARTICIPA")</f>
        <v>NO PARTICIPA</v>
      </c>
    </row>
    <row r="230" spans="1:12" ht="19" x14ac:dyDescent="0.25">
      <c r="A230" s="45">
        <v>830582383</v>
      </c>
      <c r="B230" s="46" t="s">
        <v>12</v>
      </c>
      <c r="C230" s="46" t="s">
        <v>18</v>
      </c>
      <c r="D230" s="46" t="s">
        <v>25</v>
      </c>
      <c r="E230" s="49">
        <v>31.75</v>
      </c>
      <c r="F230" s="48">
        <v>4</v>
      </c>
      <c r="G230" s="78">
        <f t="shared" si="3"/>
        <v>127</v>
      </c>
      <c r="H230" s="120">
        <v>43504</v>
      </c>
      <c r="I230" s="50">
        <v>0.6430555555555556</v>
      </c>
      <c r="J230" s="46" t="s">
        <v>23</v>
      </c>
      <c r="K230" s="51">
        <v>8.6</v>
      </c>
      <c r="L230" s="122" t="str">
        <f>IF(AND(Tabla_Ventas[[#This Row],[VENTA TOTAL]]&gt;=30,Tabla_Ventas[[#This Row],[TIPO DE CLIENTE/ Customer type]]="Member"),"PARTICIPA","NO PARTICIPA")</f>
        <v>NO PARTICIPA</v>
      </c>
    </row>
    <row r="231" spans="1:12" ht="19" x14ac:dyDescent="0.25">
      <c r="A231" s="45">
        <v>390175806</v>
      </c>
      <c r="B231" s="46" t="s">
        <v>16</v>
      </c>
      <c r="C231" s="46" t="s">
        <v>13</v>
      </c>
      <c r="D231" s="46" t="s">
        <v>24</v>
      </c>
      <c r="E231" s="49">
        <v>38.42</v>
      </c>
      <c r="F231" s="48">
        <v>1</v>
      </c>
      <c r="G231" s="78">
        <f t="shared" si="3"/>
        <v>38.42</v>
      </c>
      <c r="H231" s="120">
        <v>43498</v>
      </c>
      <c r="I231" s="50">
        <v>0.68958333333333333</v>
      </c>
      <c r="J231" s="46" t="s">
        <v>23</v>
      </c>
      <c r="K231" s="51">
        <v>8.6</v>
      </c>
      <c r="L231" s="122" t="str">
        <f>IF(AND(Tabla_Ventas[[#This Row],[VENTA TOTAL]]&gt;=30,Tabla_Ventas[[#This Row],[TIPO DE CLIENTE/ Customer type]]="Member"),"PARTICIPA","NO PARTICIPA")</f>
        <v>PARTICIPA</v>
      </c>
    </row>
    <row r="232" spans="1:12" ht="19" x14ac:dyDescent="0.25">
      <c r="A232" s="45">
        <v>585868361</v>
      </c>
      <c r="B232" s="46" t="s">
        <v>19</v>
      </c>
      <c r="C232" s="46" t="s">
        <v>18</v>
      </c>
      <c r="D232" s="46" t="s">
        <v>24</v>
      </c>
      <c r="E232" s="49">
        <v>27.28</v>
      </c>
      <c r="F232" s="48">
        <v>5</v>
      </c>
      <c r="G232" s="78">
        <f t="shared" si="3"/>
        <v>136.4</v>
      </c>
      <c r="H232" s="120">
        <v>43499</v>
      </c>
      <c r="I232" s="50">
        <v>0.4381944444444445</v>
      </c>
      <c r="J232" s="46" t="s">
        <v>15</v>
      </c>
      <c r="K232" s="51">
        <v>8.6</v>
      </c>
      <c r="L232" s="122" t="str">
        <f>IF(AND(Tabla_Ventas[[#This Row],[VENTA TOTAL]]&gt;=30,Tabla_Ventas[[#This Row],[TIPO DE CLIENTE/ Customer type]]="Member"),"PARTICIPA","NO PARTICIPA")</f>
        <v>NO PARTICIPA</v>
      </c>
    </row>
    <row r="233" spans="1:12" ht="19" x14ac:dyDescent="0.25">
      <c r="A233" s="45">
        <v>559615987</v>
      </c>
      <c r="B233" s="46" t="s">
        <v>12</v>
      </c>
      <c r="C233" s="46" t="s">
        <v>18</v>
      </c>
      <c r="D233" s="46" t="s">
        <v>20</v>
      </c>
      <c r="E233" s="49">
        <v>17.75</v>
      </c>
      <c r="F233" s="48">
        <v>1</v>
      </c>
      <c r="G233" s="78">
        <f t="shared" si="3"/>
        <v>17.75</v>
      </c>
      <c r="H233" s="120">
        <v>43479</v>
      </c>
      <c r="I233" s="50">
        <v>0.44305555555555554</v>
      </c>
      <c r="J233" s="46" t="s">
        <v>23</v>
      </c>
      <c r="K233" s="51">
        <v>8.6</v>
      </c>
      <c r="L233" s="122" t="str">
        <f>IF(AND(Tabla_Ventas[[#This Row],[VENTA TOTAL]]&gt;=30,Tabla_Ventas[[#This Row],[TIPO DE CLIENTE/ Customer type]]="Member"),"PARTICIPA","NO PARTICIPA")</f>
        <v>NO PARTICIPA</v>
      </c>
    </row>
    <row r="234" spans="1:12" ht="19" x14ac:dyDescent="0.25">
      <c r="A234" s="45">
        <v>862295914</v>
      </c>
      <c r="B234" s="46" t="s">
        <v>16</v>
      </c>
      <c r="C234" s="46" t="s">
        <v>18</v>
      </c>
      <c r="D234" s="46" t="s">
        <v>14</v>
      </c>
      <c r="E234" s="49">
        <v>22.38</v>
      </c>
      <c r="F234" s="48">
        <v>1</v>
      </c>
      <c r="G234" s="78">
        <f t="shared" si="3"/>
        <v>22.38</v>
      </c>
      <c r="H234" s="120">
        <v>43495</v>
      </c>
      <c r="I234" s="50">
        <v>0.71388888888888891</v>
      </c>
      <c r="J234" s="46" t="s">
        <v>15</v>
      </c>
      <c r="K234" s="51">
        <v>8.6</v>
      </c>
      <c r="L234" s="122" t="str">
        <f>IF(AND(Tabla_Ventas[[#This Row],[VENTA TOTAL]]&gt;=30,Tabla_Ventas[[#This Row],[TIPO DE CLIENTE/ Customer type]]="Member"),"PARTICIPA","NO PARTICIPA")</f>
        <v>NO PARTICIPA</v>
      </c>
    </row>
    <row r="235" spans="1:12" ht="19" x14ac:dyDescent="0.25">
      <c r="A235" s="45">
        <v>761490439</v>
      </c>
      <c r="B235" s="46" t="s">
        <v>12</v>
      </c>
      <c r="C235" s="46" t="s">
        <v>13</v>
      </c>
      <c r="D235" s="46" t="s">
        <v>21</v>
      </c>
      <c r="E235" s="49">
        <v>12.1</v>
      </c>
      <c r="F235" s="48">
        <v>8</v>
      </c>
      <c r="G235" s="78">
        <f t="shared" si="3"/>
        <v>96.8</v>
      </c>
      <c r="H235" s="120">
        <v>43484</v>
      </c>
      <c r="I235" s="50">
        <v>0.4284722222222222</v>
      </c>
      <c r="J235" s="46" t="s">
        <v>17</v>
      </c>
      <c r="K235" s="51">
        <v>8.6</v>
      </c>
      <c r="L235" s="122" t="str">
        <f>IF(AND(Tabla_Ventas[[#This Row],[VENTA TOTAL]]&gt;=30,Tabla_Ventas[[#This Row],[TIPO DE CLIENTE/ Customer type]]="Member"),"PARTICIPA","NO PARTICIPA")</f>
        <v>PARTICIPA</v>
      </c>
    </row>
    <row r="236" spans="1:12" ht="19" x14ac:dyDescent="0.25">
      <c r="A236" s="45">
        <v>607766216</v>
      </c>
      <c r="B236" s="46" t="s">
        <v>16</v>
      </c>
      <c r="C236" s="46" t="s">
        <v>13</v>
      </c>
      <c r="D236" s="46" t="s">
        <v>22</v>
      </c>
      <c r="E236" s="49">
        <v>92.49</v>
      </c>
      <c r="F236" s="48">
        <v>5</v>
      </c>
      <c r="G236" s="78">
        <f t="shared" si="3"/>
        <v>462.45</v>
      </c>
      <c r="H236" s="120">
        <v>43499</v>
      </c>
      <c r="I236" s="50">
        <v>0.69097222222222221</v>
      </c>
      <c r="J236" s="46" t="s">
        <v>15</v>
      </c>
      <c r="K236" s="51">
        <v>8.6</v>
      </c>
      <c r="L236" s="122" t="str">
        <f>IF(AND(Tabla_Ventas[[#This Row],[VENTA TOTAL]]&gt;=30,Tabla_Ventas[[#This Row],[TIPO DE CLIENTE/ Customer type]]="Member"),"PARTICIPA","NO PARTICIPA")</f>
        <v>PARTICIPA</v>
      </c>
    </row>
    <row r="237" spans="1:12" ht="19" x14ac:dyDescent="0.25">
      <c r="A237" s="45">
        <v>151278496</v>
      </c>
      <c r="B237" s="46" t="s">
        <v>16</v>
      </c>
      <c r="C237" s="46" t="s">
        <v>18</v>
      </c>
      <c r="D237" s="46" t="s">
        <v>21</v>
      </c>
      <c r="E237" s="49">
        <v>56.13</v>
      </c>
      <c r="F237" s="48">
        <v>4</v>
      </c>
      <c r="G237" s="78">
        <f t="shared" si="3"/>
        <v>224.52</v>
      </c>
      <c r="H237" s="120">
        <v>43484</v>
      </c>
      <c r="I237" s="50">
        <v>0.48819444444444443</v>
      </c>
      <c r="J237" s="46" t="s">
        <v>17</v>
      </c>
      <c r="K237" s="51">
        <v>8.6</v>
      </c>
      <c r="L237" s="122" t="str">
        <f>IF(AND(Tabla_Ventas[[#This Row],[VENTA TOTAL]]&gt;=30,Tabla_Ventas[[#This Row],[TIPO DE CLIENTE/ Customer type]]="Member"),"PARTICIPA","NO PARTICIPA")</f>
        <v>NO PARTICIPA</v>
      </c>
    </row>
    <row r="238" spans="1:12" ht="19" x14ac:dyDescent="0.25">
      <c r="A238" s="45">
        <v>227035010</v>
      </c>
      <c r="B238" s="46" t="s">
        <v>19</v>
      </c>
      <c r="C238" s="46" t="s">
        <v>13</v>
      </c>
      <c r="D238" s="46" t="s">
        <v>25</v>
      </c>
      <c r="E238" s="47">
        <v>52.59</v>
      </c>
      <c r="F238" s="48">
        <v>8</v>
      </c>
      <c r="G238" s="78">
        <f t="shared" si="3"/>
        <v>420.72</v>
      </c>
      <c r="H238" s="120">
        <v>43519</v>
      </c>
      <c r="I238" s="50">
        <v>0.80555555555555547</v>
      </c>
      <c r="J238" s="46" t="s">
        <v>15</v>
      </c>
      <c r="K238" s="51">
        <v>8.5</v>
      </c>
      <c r="L238" s="122" t="str">
        <f>IF(AND(Tabla_Ventas[[#This Row],[VENTA TOTAL]]&gt;=30,Tabla_Ventas[[#This Row],[TIPO DE CLIENTE/ Customer type]]="Member"),"PARTICIPA","NO PARTICIPA")</f>
        <v>PARTICIPA</v>
      </c>
    </row>
    <row r="239" spans="1:12" ht="19" x14ac:dyDescent="0.25">
      <c r="A239" s="45">
        <v>162488011</v>
      </c>
      <c r="B239" s="46" t="s">
        <v>19</v>
      </c>
      <c r="C239" s="46" t="s">
        <v>13</v>
      </c>
      <c r="D239" s="46" t="s">
        <v>24</v>
      </c>
      <c r="E239" s="47">
        <v>44.59</v>
      </c>
      <c r="F239" s="48">
        <v>5</v>
      </c>
      <c r="G239" s="78">
        <f t="shared" si="3"/>
        <v>222.95000000000002</v>
      </c>
      <c r="H239" s="120">
        <v>43506</v>
      </c>
      <c r="I239" s="50">
        <v>0.63194444444444442</v>
      </c>
      <c r="J239" s="46" t="s">
        <v>23</v>
      </c>
      <c r="K239" s="51">
        <v>8.5</v>
      </c>
      <c r="L239" s="122" t="str">
        <f>IF(AND(Tabla_Ventas[[#This Row],[VENTA TOTAL]]&gt;=30,Tabla_Ventas[[#This Row],[TIPO DE CLIENTE/ Customer type]]="Member"),"PARTICIPA","NO PARTICIPA")</f>
        <v>PARTICIPA</v>
      </c>
    </row>
    <row r="240" spans="1:12" ht="19" x14ac:dyDescent="0.25">
      <c r="A240" s="45">
        <v>663869076</v>
      </c>
      <c r="B240" s="46" t="s">
        <v>12</v>
      </c>
      <c r="C240" s="46" t="s">
        <v>13</v>
      </c>
      <c r="D240" s="46" t="s">
        <v>24</v>
      </c>
      <c r="E240" s="47">
        <v>68.540000000000006</v>
      </c>
      <c r="F240" s="48">
        <v>8</v>
      </c>
      <c r="G240" s="78">
        <f t="shared" si="3"/>
        <v>548.32000000000005</v>
      </c>
      <c r="H240" s="120">
        <v>43678</v>
      </c>
      <c r="I240" s="50">
        <v>0.6645833333333333</v>
      </c>
      <c r="J240" s="46" t="s">
        <v>17</v>
      </c>
      <c r="K240" s="51">
        <v>8.5</v>
      </c>
      <c r="L240" s="122" t="str">
        <f>IF(AND(Tabla_Ventas[[#This Row],[VENTA TOTAL]]&gt;=30,Tabla_Ventas[[#This Row],[TIPO DE CLIENTE/ Customer type]]="Member"),"PARTICIPA","NO PARTICIPA")</f>
        <v>PARTICIPA</v>
      </c>
    </row>
    <row r="241" spans="1:12" ht="19" x14ac:dyDescent="0.25">
      <c r="A241" s="45">
        <v>105311824</v>
      </c>
      <c r="B241" s="46" t="s">
        <v>19</v>
      </c>
      <c r="C241" s="46" t="s">
        <v>13</v>
      </c>
      <c r="D241" s="46" t="s">
        <v>14</v>
      </c>
      <c r="E241" s="47">
        <v>69.52</v>
      </c>
      <c r="F241" s="48">
        <v>7</v>
      </c>
      <c r="G241" s="78">
        <f t="shared" si="3"/>
        <v>486.64</v>
      </c>
      <c r="H241" s="120">
        <v>43467</v>
      </c>
      <c r="I241" s="50">
        <v>0.63194444444444442</v>
      </c>
      <c r="J241" s="46" t="s">
        <v>15</v>
      </c>
      <c r="K241" s="51">
        <v>8.5</v>
      </c>
      <c r="L241" s="122" t="str">
        <f>IF(AND(Tabla_Ventas[[#This Row],[VENTA TOTAL]]&gt;=30,Tabla_Ventas[[#This Row],[TIPO DE CLIENTE/ Customer type]]="Member"),"PARTICIPA","NO PARTICIPA")</f>
        <v>PARTICIPA</v>
      </c>
    </row>
    <row r="242" spans="1:12" ht="19" x14ac:dyDescent="0.25">
      <c r="A242" s="45">
        <v>560305617</v>
      </c>
      <c r="B242" s="46" t="s">
        <v>16</v>
      </c>
      <c r="C242" s="46" t="s">
        <v>18</v>
      </c>
      <c r="D242" s="46" t="s">
        <v>14</v>
      </c>
      <c r="E242" s="47">
        <v>24.77</v>
      </c>
      <c r="F242" s="48">
        <v>5</v>
      </c>
      <c r="G242" s="78">
        <f t="shared" si="3"/>
        <v>123.85</v>
      </c>
      <c r="H242" s="120">
        <v>43548</v>
      </c>
      <c r="I242" s="50">
        <v>0.76874999999999993</v>
      </c>
      <c r="J242" s="46" t="s">
        <v>23</v>
      </c>
      <c r="K242" s="51">
        <v>8.5</v>
      </c>
      <c r="L242" s="122" t="str">
        <f>IF(AND(Tabla_Ventas[[#This Row],[VENTA TOTAL]]&gt;=30,Tabla_Ventas[[#This Row],[TIPO DE CLIENTE/ Customer type]]="Member"),"PARTICIPA","NO PARTICIPA")</f>
        <v>NO PARTICIPA</v>
      </c>
    </row>
    <row r="243" spans="1:12" ht="19" x14ac:dyDescent="0.25">
      <c r="A243" s="45">
        <v>667920055</v>
      </c>
      <c r="B243" s="46" t="s">
        <v>19</v>
      </c>
      <c r="C243" s="46" t="s">
        <v>13</v>
      </c>
      <c r="D243" s="46" t="s">
        <v>20</v>
      </c>
      <c r="E243" s="47">
        <v>99.83</v>
      </c>
      <c r="F243" s="48">
        <v>6</v>
      </c>
      <c r="G243" s="78">
        <f t="shared" si="3"/>
        <v>598.98</v>
      </c>
      <c r="H243" s="120">
        <v>43558</v>
      </c>
      <c r="I243" s="50">
        <v>0.62638888888888888</v>
      </c>
      <c r="J243" s="46" t="s">
        <v>17</v>
      </c>
      <c r="K243" s="51">
        <v>8.5</v>
      </c>
      <c r="L243" s="122" t="str">
        <f>IF(AND(Tabla_Ventas[[#This Row],[VENTA TOTAL]]&gt;=30,Tabla_Ventas[[#This Row],[TIPO DE CLIENTE/ Customer type]]="Member"),"PARTICIPA","NO PARTICIPA")</f>
        <v>PARTICIPA</v>
      </c>
    </row>
    <row r="244" spans="1:12" ht="19" x14ac:dyDescent="0.25">
      <c r="A244" s="45">
        <v>835160096</v>
      </c>
      <c r="B244" s="46" t="s">
        <v>12</v>
      </c>
      <c r="C244" s="46" t="s">
        <v>13</v>
      </c>
      <c r="D244" s="46" t="s">
        <v>14</v>
      </c>
      <c r="E244" s="47">
        <v>14.7</v>
      </c>
      <c r="F244" s="48">
        <v>5</v>
      </c>
      <c r="G244" s="78">
        <f t="shared" si="3"/>
        <v>73.5</v>
      </c>
      <c r="H244" s="120">
        <v>43548</v>
      </c>
      <c r="I244" s="50">
        <v>0.57500000000000007</v>
      </c>
      <c r="J244" s="46" t="s">
        <v>17</v>
      </c>
      <c r="K244" s="51">
        <v>8.5</v>
      </c>
      <c r="L244" s="122" t="str">
        <f>IF(AND(Tabla_Ventas[[#This Row],[VENTA TOTAL]]&gt;=30,Tabla_Ventas[[#This Row],[TIPO DE CLIENTE/ Customer type]]="Member"),"PARTICIPA","NO PARTICIPA")</f>
        <v>PARTICIPA</v>
      </c>
    </row>
    <row r="245" spans="1:12" ht="19" x14ac:dyDescent="0.25">
      <c r="A245" s="45">
        <v>115994379</v>
      </c>
      <c r="B245" s="46" t="s">
        <v>16</v>
      </c>
      <c r="C245" s="46" t="s">
        <v>13</v>
      </c>
      <c r="D245" s="46" t="s">
        <v>22</v>
      </c>
      <c r="E245" s="47">
        <v>54.73</v>
      </c>
      <c r="F245" s="48">
        <v>7</v>
      </c>
      <c r="G245" s="78">
        <f t="shared" si="3"/>
        <v>383.10999999999996</v>
      </c>
      <c r="H245" s="120">
        <v>43538</v>
      </c>
      <c r="I245" s="50">
        <v>0.79305555555555562</v>
      </c>
      <c r="J245" s="46" t="s">
        <v>15</v>
      </c>
      <c r="K245" s="51">
        <v>8.5</v>
      </c>
      <c r="L245" s="122" t="str">
        <f>IF(AND(Tabla_Ventas[[#This Row],[VENTA TOTAL]]&gt;=30,Tabla_Ventas[[#This Row],[TIPO DE CLIENTE/ Customer type]]="Member"),"PARTICIPA","NO PARTICIPA")</f>
        <v>PARTICIPA</v>
      </c>
    </row>
    <row r="246" spans="1:12" ht="19" x14ac:dyDescent="0.25">
      <c r="A246" s="45">
        <v>556977101</v>
      </c>
      <c r="B246" s="46" t="s">
        <v>12</v>
      </c>
      <c r="C246" s="46" t="s">
        <v>18</v>
      </c>
      <c r="D246" s="46" t="s">
        <v>21</v>
      </c>
      <c r="E246" s="47">
        <v>63.22</v>
      </c>
      <c r="F246" s="48">
        <v>2</v>
      </c>
      <c r="G246" s="78">
        <f t="shared" si="3"/>
        <v>126.44</v>
      </c>
      <c r="H246" s="120">
        <v>43466</v>
      </c>
      <c r="I246" s="50">
        <v>0.66041666666666665</v>
      </c>
      <c r="J246" s="46" t="s">
        <v>23</v>
      </c>
      <c r="K246" s="51">
        <v>8.5</v>
      </c>
      <c r="L246" s="122" t="str">
        <f>IF(AND(Tabla_Ventas[[#This Row],[VENTA TOTAL]]&gt;=30,Tabla_Ventas[[#This Row],[TIPO DE CLIENTE/ Customer type]]="Member"),"PARTICIPA","NO PARTICIPA")</f>
        <v>NO PARTICIPA</v>
      </c>
    </row>
    <row r="247" spans="1:12" ht="19" x14ac:dyDescent="0.25">
      <c r="A247" s="45">
        <v>413206708</v>
      </c>
      <c r="B247" s="46" t="s">
        <v>12</v>
      </c>
      <c r="C247" s="46" t="s">
        <v>13</v>
      </c>
      <c r="D247" s="46" t="s">
        <v>22</v>
      </c>
      <c r="E247" s="47">
        <v>51.47</v>
      </c>
      <c r="F247" s="48">
        <v>1</v>
      </c>
      <c r="G247" s="78">
        <f t="shared" si="3"/>
        <v>51.47</v>
      </c>
      <c r="H247" s="120">
        <v>43542</v>
      </c>
      <c r="I247" s="50">
        <v>0.66111111111111109</v>
      </c>
      <c r="J247" s="46" t="s">
        <v>17</v>
      </c>
      <c r="K247" s="51">
        <v>8.5</v>
      </c>
      <c r="L247" s="122" t="str">
        <f>IF(AND(Tabla_Ventas[[#This Row],[VENTA TOTAL]]&gt;=30,Tabla_Ventas[[#This Row],[TIPO DE CLIENTE/ Customer type]]="Member"),"PARTICIPA","NO PARTICIPA")</f>
        <v>PARTICIPA</v>
      </c>
    </row>
    <row r="248" spans="1:12" ht="19" x14ac:dyDescent="0.25">
      <c r="A248" s="45">
        <v>641963695</v>
      </c>
      <c r="B248" s="46" t="s">
        <v>16</v>
      </c>
      <c r="C248" s="46" t="s">
        <v>13</v>
      </c>
      <c r="D248" s="46" t="s">
        <v>22</v>
      </c>
      <c r="E248" s="49">
        <v>43.46</v>
      </c>
      <c r="F248" s="48">
        <v>6</v>
      </c>
      <c r="G248" s="78">
        <f t="shared" si="3"/>
        <v>260.76</v>
      </c>
      <c r="H248" s="120">
        <v>43503</v>
      </c>
      <c r="I248" s="50">
        <v>0.74652777777777779</v>
      </c>
      <c r="J248" s="46" t="s">
        <v>17</v>
      </c>
      <c r="K248" s="51">
        <v>8.5</v>
      </c>
      <c r="L248" s="122" t="str">
        <f>IF(AND(Tabla_Ventas[[#This Row],[VENTA TOTAL]]&gt;=30,Tabla_Ventas[[#This Row],[TIPO DE CLIENTE/ Customer type]]="Member"),"PARTICIPA","NO PARTICIPA")</f>
        <v>PARTICIPA</v>
      </c>
    </row>
    <row r="249" spans="1:12" ht="19" x14ac:dyDescent="0.25">
      <c r="A249" s="45">
        <v>364338584</v>
      </c>
      <c r="B249" s="46" t="s">
        <v>12</v>
      </c>
      <c r="C249" s="46" t="s">
        <v>13</v>
      </c>
      <c r="D249" s="46" t="s">
        <v>24</v>
      </c>
      <c r="E249" s="49">
        <v>17.63</v>
      </c>
      <c r="F249" s="48">
        <v>5</v>
      </c>
      <c r="G249" s="78">
        <f t="shared" si="3"/>
        <v>88.149999999999991</v>
      </c>
      <c r="H249" s="120">
        <v>43532</v>
      </c>
      <c r="I249" s="50">
        <v>0.64374999999999993</v>
      </c>
      <c r="J249" s="46" t="s">
        <v>23</v>
      </c>
      <c r="K249" s="51">
        <v>8.5</v>
      </c>
      <c r="L249" s="122" t="str">
        <f>IF(AND(Tabla_Ventas[[#This Row],[VENTA TOTAL]]&gt;=30,Tabla_Ventas[[#This Row],[TIPO DE CLIENTE/ Customer type]]="Member"),"PARTICIPA","NO PARTICIPA")</f>
        <v>PARTICIPA</v>
      </c>
    </row>
    <row r="250" spans="1:12" ht="19" x14ac:dyDescent="0.25">
      <c r="A250" s="45">
        <v>735329839</v>
      </c>
      <c r="B250" s="46" t="s">
        <v>16</v>
      </c>
      <c r="C250" s="46" t="s">
        <v>13</v>
      </c>
      <c r="D250" s="46" t="s">
        <v>22</v>
      </c>
      <c r="E250" s="49">
        <v>98.7</v>
      </c>
      <c r="F250" s="48">
        <v>8</v>
      </c>
      <c r="G250" s="78">
        <f t="shared" si="3"/>
        <v>789.6</v>
      </c>
      <c r="H250" s="120">
        <v>43496</v>
      </c>
      <c r="I250" s="50">
        <v>0.44166666666666665</v>
      </c>
      <c r="J250" s="46" t="s">
        <v>17</v>
      </c>
      <c r="K250" s="51">
        <v>8.5</v>
      </c>
      <c r="L250" s="122" t="str">
        <f>IF(AND(Tabla_Ventas[[#This Row],[VENTA TOTAL]]&gt;=30,Tabla_Ventas[[#This Row],[TIPO DE CLIENTE/ Customer type]]="Member"),"PARTICIPA","NO PARTICIPA")</f>
        <v>PARTICIPA</v>
      </c>
    </row>
    <row r="251" spans="1:12" ht="19" x14ac:dyDescent="0.25">
      <c r="A251" s="45">
        <v>733291227</v>
      </c>
      <c r="B251" s="46" t="s">
        <v>16</v>
      </c>
      <c r="C251" s="46" t="s">
        <v>18</v>
      </c>
      <c r="D251" s="46" t="s">
        <v>25</v>
      </c>
      <c r="E251" s="49">
        <v>55.61</v>
      </c>
      <c r="F251" s="48">
        <v>7</v>
      </c>
      <c r="G251" s="78">
        <f t="shared" si="3"/>
        <v>389.27</v>
      </c>
      <c r="H251" s="120">
        <v>43547</v>
      </c>
      <c r="I251" s="50">
        <v>0.52847222222222223</v>
      </c>
      <c r="J251" s="46" t="s">
        <v>23</v>
      </c>
      <c r="K251" s="51">
        <v>8.5</v>
      </c>
      <c r="L251" s="122" t="str">
        <f>IF(AND(Tabla_Ventas[[#This Row],[VENTA TOTAL]]&gt;=30,Tabla_Ventas[[#This Row],[TIPO DE CLIENTE/ Customer type]]="Member"),"PARTICIPA","NO PARTICIPA")</f>
        <v>NO PARTICIPA</v>
      </c>
    </row>
    <row r="252" spans="1:12" ht="19" x14ac:dyDescent="0.25">
      <c r="A252" s="45">
        <v>618348551</v>
      </c>
      <c r="B252" s="46" t="s">
        <v>19</v>
      </c>
      <c r="C252" s="46" t="s">
        <v>18</v>
      </c>
      <c r="D252" s="46" t="s">
        <v>14</v>
      </c>
      <c r="E252" s="49">
        <v>93.18</v>
      </c>
      <c r="F252" s="48">
        <v>2</v>
      </c>
      <c r="G252" s="78">
        <f t="shared" si="3"/>
        <v>186.36</v>
      </c>
      <c r="H252" s="120">
        <v>43481</v>
      </c>
      <c r="I252" s="50">
        <v>0.77847222222222223</v>
      </c>
      <c r="J252" s="46" t="s">
        <v>15</v>
      </c>
      <c r="K252" s="51">
        <v>8.5</v>
      </c>
      <c r="L252" s="122" t="str">
        <f>IF(AND(Tabla_Ventas[[#This Row],[VENTA TOTAL]]&gt;=30,Tabla_Ventas[[#This Row],[TIPO DE CLIENTE/ Customer type]]="Member"),"PARTICIPA","NO PARTICIPA")</f>
        <v>NO PARTICIPA</v>
      </c>
    </row>
    <row r="253" spans="1:12" ht="19" x14ac:dyDescent="0.25">
      <c r="A253" s="45">
        <v>760539233</v>
      </c>
      <c r="B253" s="46" t="s">
        <v>19</v>
      </c>
      <c r="C253" s="46" t="s">
        <v>13</v>
      </c>
      <c r="D253" s="46" t="s">
        <v>22</v>
      </c>
      <c r="E253" s="49">
        <v>41.28</v>
      </c>
      <c r="F253" s="48">
        <v>3</v>
      </c>
      <c r="G253" s="78">
        <f t="shared" si="3"/>
        <v>123.84</v>
      </c>
      <c r="H253" s="120">
        <v>43550</v>
      </c>
      <c r="I253" s="50">
        <v>0.77569444444444446</v>
      </c>
      <c r="J253" s="46" t="s">
        <v>15</v>
      </c>
      <c r="K253" s="51">
        <v>8.5</v>
      </c>
      <c r="L253" s="122" t="str">
        <f>IF(AND(Tabla_Ventas[[#This Row],[VENTA TOTAL]]&gt;=30,Tabla_Ventas[[#This Row],[TIPO DE CLIENTE/ Customer type]]="Member"),"PARTICIPA","NO PARTICIPA")</f>
        <v>PARTICIPA</v>
      </c>
    </row>
    <row r="254" spans="1:12" ht="19" x14ac:dyDescent="0.25">
      <c r="A254" s="45">
        <v>221255073</v>
      </c>
      <c r="B254" s="46" t="s">
        <v>19</v>
      </c>
      <c r="C254" s="46" t="s">
        <v>18</v>
      </c>
      <c r="D254" s="46" t="s">
        <v>24</v>
      </c>
      <c r="E254" s="49">
        <v>74.66</v>
      </c>
      <c r="F254" s="48">
        <v>4</v>
      </c>
      <c r="G254" s="78">
        <f t="shared" si="3"/>
        <v>298.64</v>
      </c>
      <c r="H254" s="120">
        <v>43528</v>
      </c>
      <c r="I254" s="50">
        <v>0.44375000000000003</v>
      </c>
      <c r="J254" s="46" t="s">
        <v>23</v>
      </c>
      <c r="K254" s="51">
        <v>8.5</v>
      </c>
      <c r="L254" s="122" t="str">
        <f>IF(AND(Tabla_Ventas[[#This Row],[VENTA TOTAL]]&gt;=30,Tabla_Ventas[[#This Row],[TIPO DE CLIENTE/ Customer type]]="Member"),"PARTICIPA","NO PARTICIPA")</f>
        <v>NO PARTICIPA</v>
      </c>
    </row>
    <row r="255" spans="1:12" ht="19" x14ac:dyDescent="0.25">
      <c r="A255" s="45">
        <v>374385555</v>
      </c>
      <c r="B255" s="46" t="s">
        <v>12</v>
      </c>
      <c r="C255" s="46" t="s">
        <v>18</v>
      </c>
      <c r="D255" s="46" t="s">
        <v>22</v>
      </c>
      <c r="E255" s="49">
        <v>63.71</v>
      </c>
      <c r="F255" s="48">
        <v>5</v>
      </c>
      <c r="G255" s="78">
        <f t="shared" si="3"/>
        <v>318.55</v>
      </c>
      <c r="H255" s="120">
        <v>43503</v>
      </c>
      <c r="I255" s="50">
        <v>0.8125</v>
      </c>
      <c r="J255" s="46" t="s">
        <v>17</v>
      </c>
      <c r="K255" s="51">
        <v>8.5</v>
      </c>
      <c r="L255" s="122" t="str">
        <f>IF(AND(Tabla_Ventas[[#This Row],[VENTA TOTAL]]&gt;=30,Tabla_Ventas[[#This Row],[TIPO DE CLIENTE/ Customer type]]="Member"),"PARTICIPA","NO PARTICIPA")</f>
        <v>NO PARTICIPA</v>
      </c>
    </row>
    <row r="256" spans="1:12" ht="19" x14ac:dyDescent="0.25">
      <c r="A256" s="45">
        <v>123191176</v>
      </c>
      <c r="B256" s="46" t="s">
        <v>19</v>
      </c>
      <c r="C256" s="46" t="s">
        <v>13</v>
      </c>
      <c r="D256" s="46" t="s">
        <v>20</v>
      </c>
      <c r="E256" s="47">
        <v>58.22</v>
      </c>
      <c r="F256" s="48">
        <v>8</v>
      </c>
      <c r="G256" s="78">
        <f t="shared" si="3"/>
        <v>465.76</v>
      </c>
      <c r="H256" s="120">
        <v>43492</v>
      </c>
      <c r="I256" s="50">
        <v>0.85625000000000007</v>
      </c>
      <c r="J256" s="46" t="s">
        <v>17</v>
      </c>
      <c r="K256" s="51">
        <v>8.4</v>
      </c>
      <c r="L256" s="122" t="str">
        <f>IF(AND(Tabla_Ventas[[#This Row],[VENTA TOTAL]]&gt;=30,Tabla_Ventas[[#This Row],[TIPO DE CLIENTE/ Customer type]]="Member"),"PARTICIPA","NO PARTICIPA")</f>
        <v>PARTICIPA</v>
      </c>
    </row>
    <row r="257" spans="1:12" ht="19" x14ac:dyDescent="0.25">
      <c r="A257" s="45">
        <v>370417321</v>
      </c>
      <c r="B257" s="46" t="s">
        <v>16</v>
      </c>
      <c r="C257" s="46" t="s">
        <v>13</v>
      </c>
      <c r="D257" s="46" t="s">
        <v>20</v>
      </c>
      <c r="E257" s="47">
        <v>56.69</v>
      </c>
      <c r="F257" s="48">
        <v>9</v>
      </c>
      <c r="G257" s="78">
        <f t="shared" si="3"/>
        <v>510.21</v>
      </c>
      <c r="H257" s="120">
        <v>43523</v>
      </c>
      <c r="I257" s="50">
        <v>0.72499999999999998</v>
      </c>
      <c r="J257" s="46" t="s">
        <v>15</v>
      </c>
      <c r="K257" s="51">
        <v>8.4</v>
      </c>
      <c r="L257" s="122" t="str">
        <f>IF(AND(Tabla_Ventas[[#This Row],[VENTA TOTAL]]&gt;=30,Tabla_Ventas[[#This Row],[TIPO DE CLIENTE/ Customer type]]="Member"),"PARTICIPA","NO PARTICIPA")</f>
        <v>PARTICIPA</v>
      </c>
    </row>
    <row r="258" spans="1:12" ht="19" x14ac:dyDescent="0.25">
      <c r="A258" s="45">
        <v>227781148</v>
      </c>
      <c r="B258" s="46" t="s">
        <v>16</v>
      </c>
      <c r="C258" s="46" t="s">
        <v>18</v>
      </c>
      <c r="D258" s="46" t="s">
        <v>22</v>
      </c>
      <c r="E258" s="47">
        <v>72.84</v>
      </c>
      <c r="F258" s="48">
        <v>7</v>
      </c>
      <c r="G258" s="78">
        <f t="shared" si="3"/>
        <v>509.88</v>
      </c>
      <c r="H258" s="120">
        <v>43511</v>
      </c>
      <c r="I258" s="50">
        <v>0.53055555555555556</v>
      </c>
      <c r="J258" s="46" t="s">
        <v>23</v>
      </c>
      <c r="K258" s="51">
        <v>8.4</v>
      </c>
      <c r="L258" s="122" t="str">
        <f>IF(AND(Tabla_Ventas[[#This Row],[VENTA TOTAL]]&gt;=30,Tabla_Ventas[[#This Row],[TIPO DE CLIENTE/ Customer type]]="Member"),"PARTICIPA","NO PARTICIPA")</f>
        <v>NO PARTICIPA</v>
      </c>
    </row>
    <row r="259" spans="1:12" ht="19" x14ac:dyDescent="0.25">
      <c r="A259" s="45">
        <v>488254221</v>
      </c>
      <c r="B259" s="46" t="s">
        <v>12</v>
      </c>
      <c r="C259" s="46" t="s">
        <v>13</v>
      </c>
      <c r="D259" s="46" t="s">
        <v>24</v>
      </c>
      <c r="E259" s="47">
        <v>30.41</v>
      </c>
      <c r="F259" s="48">
        <v>1</v>
      </c>
      <c r="G259" s="78">
        <f t="shared" si="3"/>
        <v>30.41</v>
      </c>
      <c r="H259" s="120">
        <v>43518</v>
      </c>
      <c r="I259" s="50">
        <v>0.44166666666666665</v>
      </c>
      <c r="J259" s="46" t="s">
        <v>15</v>
      </c>
      <c r="K259" s="51">
        <v>8.4</v>
      </c>
      <c r="L259" s="122" t="str">
        <f>IF(AND(Tabla_Ventas[[#This Row],[VENTA TOTAL]]&gt;=30,Tabla_Ventas[[#This Row],[TIPO DE CLIENTE/ Customer type]]="Member"),"PARTICIPA","NO PARTICIPA")</f>
        <v>PARTICIPA</v>
      </c>
    </row>
    <row r="260" spans="1:12" ht="19" x14ac:dyDescent="0.25">
      <c r="A260" s="45">
        <v>662475456</v>
      </c>
      <c r="B260" s="46" t="s">
        <v>12</v>
      </c>
      <c r="C260" s="46" t="s">
        <v>13</v>
      </c>
      <c r="D260" s="46" t="s">
        <v>22</v>
      </c>
      <c r="E260" s="47">
        <v>35.19</v>
      </c>
      <c r="F260" s="48">
        <v>10</v>
      </c>
      <c r="G260" s="78">
        <f t="shared" ref="G260:G323" si="4">F260*E260</f>
        <v>351.9</v>
      </c>
      <c r="H260" s="120">
        <v>43541</v>
      </c>
      <c r="I260" s="50">
        <v>0.79583333333333339</v>
      </c>
      <c r="J260" s="46" t="s">
        <v>15</v>
      </c>
      <c r="K260" s="51">
        <v>8.4</v>
      </c>
      <c r="L260" s="122" t="str">
        <f>IF(AND(Tabla_Ventas[[#This Row],[VENTA TOTAL]]&gt;=30,Tabla_Ventas[[#This Row],[TIPO DE CLIENTE/ Customer type]]="Member"),"PARTICIPA","NO PARTICIPA")</f>
        <v>PARTICIPA</v>
      </c>
    </row>
    <row r="261" spans="1:12" ht="19" x14ac:dyDescent="0.25">
      <c r="A261" s="45">
        <v>787151757</v>
      </c>
      <c r="B261" s="46" t="s">
        <v>12</v>
      </c>
      <c r="C261" s="46" t="s">
        <v>13</v>
      </c>
      <c r="D261" s="46" t="s">
        <v>20</v>
      </c>
      <c r="E261" s="47">
        <v>44.07</v>
      </c>
      <c r="F261" s="48">
        <v>4</v>
      </c>
      <c r="G261" s="78">
        <f t="shared" si="4"/>
        <v>176.28</v>
      </c>
      <c r="H261" s="120">
        <v>43514</v>
      </c>
      <c r="I261" s="50">
        <v>0.68611111111111101</v>
      </c>
      <c r="J261" s="46" t="s">
        <v>17</v>
      </c>
      <c r="K261" s="51">
        <v>8.4</v>
      </c>
      <c r="L261" s="122" t="str">
        <f>IF(AND(Tabla_Ventas[[#This Row],[VENTA TOTAL]]&gt;=30,Tabla_Ventas[[#This Row],[TIPO DE CLIENTE/ Customer type]]="Member"),"PARTICIPA","NO PARTICIPA")</f>
        <v>PARTICIPA</v>
      </c>
    </row>
    <row r="262" spans="1:12" ht="19" x14ac:dyDescent="0.25">
      <c r="A262" s="45">
        <v>622201945</v>
      </c>
      <c r="B262" s="46" t="s">
        <v>12</v>
      </c>
      <c r="C262" s="46" t="s">
        <v>18</v>
      </c>
      <c r="D262" s="46" t="s">
        <v>20</v>
      </c>
      <c r="E262" s="47">
        <v>39.42</v>
      </c>
      <c r="F262" s="48">
        <v>1</v>
      </c>
      <c r="G262" s="78">
        <f t="shared" si="4"/>
        <v>39.42</v>
      </c>
      <c r="H262" s="120">
        <v>43483</v>
      </c>
      <c r="I262" s="50">
        <v>0.63055555555555554</v>
      </c>
      <c r="J262" s="46" t="s">
        <v>23</v>
      </c>
      <c r="K262" s="51">
        <v>8.4</v>
      </c>
      <c r="L262" s="122" t="str">
        <f>IF(AND(Tabla_Ventas[[#This Row],[VENTA TOTAL]]&gt;=30,Tabla_Ventas[[#This Row],[TIPO DE CLIENTE/ Customer type]]="Member"),"PARTICIPA","NO PARTICIPA")</f>
        <v>NO PARTICIPA</v>
      </c>
    </row>
    <row r="263" spans="1:12" ht="19" x14ac:dyDescent="0.25">
      <c r="A263" s="45">
        <v>320496392</v>
      </c>
      <c r="B263" s="46" t="s">
        <v>12</v>
      </c>
      <c r="C263" s="46" t="s">
        <v>18</v>
      </c>
      <c r="D263" s="46" t="s">
        <v>21</v>
      </c>
      <c r="E263" s="47">
        <v>30.24</v>
      </c>
      <c r="F263" s="48">
        <v>1</v>
      </c>
      <c r="G263" s="78">
        <f t="shared" si="4"/>
        <v>30.24</v>
      </c>
      <c r="H263" s="120">
        <v>43558</v>
      </c>
      <c r="I263" s="50">
        <v>0.65555555555555556</v>
      </c>
      <c r="J263" s="46" t="s">
        <v>23</v>
      </c>
      <c r="K263" s="51">
        <v>8.4</v>
      </c>
      <c r="L263" s="122" t="str">
        <f>IF(AND(Tabla_Ventas[[#This Row],[VENTA TOTAL]]&gt;=30,Tabla_Ventas[[#This Row],[TIPO DE CLIENTE/ Customer type]]="Member"),"PARTICIPA","NO PARTICIPA")</f>
        <v>NO PARTICIPA</v>
      </c>
    </row>
    <row r="264" spans="1:12" ht="19" x14ac:dyDescent="0.25">
      <c r="A264" s="45">
        <v>233340817</v>
      </c>
      <c r="B264" s="46" t="s">
        <v>12</v>
      </c>
      <c r="C264" s="46" t="s">
        <v>13</v>
      </c>
      <c r="D264" s="46" t="s">
        <v>21</v>
      </c>
      <c r="E264" s="47">
        <v>98.84</v>
      </c>
      <c r="F264" s="48">
        <v>1</v>
      </c>
      <c r="G264" s="78">
        <f t="shared" si="4"/>
        <v>98.84</v>
      </c>
      <c r="H264" s="120">
        <v>43511</v>
      </c>
      <c r="I264" s="50">
        <v>0.47291666666666665</v>
      </c>
      <c r="J264" s="46" t="s">
        <v>23</v>
      </c>
      <c r="K264" s="51">
        <v>8.4</v>
      </c>
      <c r="L264" s="122" t="str">
        <f>IF(AND(Tabla_Ventas[[#This Row],[VENTA TOTAL]]&gt;=30,Tabla_Ventas[[#This Row],[TIPO DE CLIENTE/ Customer type]]="Member"),"PARTICIPA","NO PARTICIPA")</f>
        <v>PARTICIPA</v>
      </c>
    </row>
    <row r="265" spans="1:12" ht="19" x14ac:dyDescent="0.25">
      <c r="A265" s="45">
        <v>541083113</v>
      </c>
      <c r="B265" s="46" t="s">
        <v>12</v>
      </c>
      <c r="C265" s="46" t="s">
        <v>18</v>
      </c>
      <c r="D265" s="46" t="s">
        <v>24</v>
      </c>
      <c r="E265" s="47">
        <v>65.97</v>
      </c>
      <c r="F265" s="48">
        <v>8</v>
      </c>
      <c r="G265" s="78">
        <f t="shared" si="4"/>
        <v>527.76</v>
      </c>
      <c r="H265" s="120">
        <v>43498</v>
      </c>
      <c r="I265" s="50">
        <v>0.8534722222222223</v>
      </c>
      <c r="J265" s="46" t="s">
        <v>23</v>
      </c>
      <c r="K265" s="51">
        <v>8.4</v>
      </c>
      <c r="L265" s="122" t="str">
        <f>IF(AND(Tabla_Ventas[[#This Row],[VENTA TOTAL]]&gt;=30,Tabla_Ventas[[#This Row],[TIPO DE CLIENTE/ Customer type]]="Member"),"PARTICIPA","NO PARTICIPA")</f>
        <v>NO PARTICIPA</v>
      </c>
    </row>
    <row r="266" spans="1:12" ht="19" x14ac:dyDescent="0.25">
      <c r="A266" s="45">
        <v>148822527</v>
      </c>
      <c r="B266" s="46" t="s">
        <v>12</v>
      </c>
      <c r="C266" s="46" t="s">
        <v>13</v>
      </c>
      <c r="D266" s="46" t="s">
        <v>25</v>
      </c>
      <c r="E266" s="47">
        <v>12.12</v>
      </c>
      <c r="F266" s="48">
        <v>10</v>
      </c>
      <c r="G266" s="78">
        <f t="shared" si="4"/>
        <v>121.19999999999999</v>
      </c>
      <c r="H266" s="120">
        <v>43529</v>
      </c>
      <c r="I266" s="50">
        <v>0.57222222222222219</v>
      </c>
      <c r="J266" s="46" t="s">
        <v>15</v>
      </c>
      <c r="K266" s="51">
        <v>8.4</v>
      </c>
      <c r="L266" s="122" t="str">
        <f>IF(AND(Tabla_Ventas[[#This Row],[VENTA TOTAL]]&gt;=30,Tabla_Ventas[[#This Row],[TIPO DE CLIENTE/ Customer type]]="Member"),"PARTICIPA","NO PARTICIPA")</f>
        <v>PARTICIPA</v>
      </c>
    </row>
    <row r="267" spans="1:12" ht="19" x14ac:dyDescent="0.25">
      <c r="A267" s="45">
        <v>236271144</v>
      </c>
      <c r="B267" s="46" t="s">
        <v>12</v>
      </c>
      <c r="C267" s="46" t="s">
        <v>18</v>
      </c>
      <c r="D267" s="46" t="s">
        <v>24</v>
      </c>
      <c r="E267" s="47">
        <v>16.309999999999999</v>
      </c>
      <c r="F267" s="48">
        <v>9</v>
      </c>
      <c r="G267" s="78">
        <f t="shared" si="4"/>
        <v>146.79</v>
      </c>
      <c r="H267" s="120">
        <v>43550</v>
      </c>
      <c r="I267" s="50">
        <v>0.4381944444444445</v>
      </c>
      <c r="J267" s="46" t="s">
        <v>17</v>
      </c>
      <c r="K267" s="51">
        <v>8.4</v>
      </c>
      <c r="L267" s="122" t="str">
        <f>IF(AND(Tabla_Ventas[[#This Row],[VENTA TOTAL]]&gt;=30,Tabla_Ventas[[#This Row],[TIPO DE CLIENTE/ Customer type]]="Member"),"PARTICIPA","NO PARTICIPA")</f>
        <v>NO PARTICIPA</v>
      </c>
    </row>
    <row r="268" spans="1:12" ht="19" x14ac:dyDescent="0.25">
      <c r="A268" s="45">
        <v>443820585</v>
      </c>
      <c r="B268" s="46" t="s">
        <v>19</v>
      </c>
      <c r="C268" s="46" t="s">
        <v>13</v>
      </c>
      <c r="D268" s="46" t="s">
        <v>20</v>
      </c>
      <c r="E268" s="47">
        <v>77.680000000000007</v>
      </c>
      <c r="F268" s="48">
        <v>4</v>
      </c>
      <c r="G268" s="78">
        <f t="shared" si="4"/>
        <v>310.72000000000003</v>
      </c>
      <c r="H268" s="120">
        <v>43467</v>
      </c>
      <c r="I268" s="50">
        <v>0.82916666666666661</v>
      </c>
      <c r="J268" s="46" t="s">
        <v>23</v>
      </c>
      <c r="K268" s="51">
        <v>8.4</v>
      </c>
      <c r="L268" s="122" t="str">
        <f>IF(AND(Tabla_Ventas[[#This Row],[VENTA TOTAL]]&gt;=30,Tabla_Ventas[[#This Row],[TIPO DE CLIENTE/ Customer type]]="Member"),"PARTICIPA","NO PARTICIPA")</f>
        <v>PARTICIPA</v>
      </c>
    </row>
    <row r="269" spans="1:12" ht="19" x14ac:dyDescent="0.25">
      <c r="A269" s="45">
        <v>775721988</v>
      </c>
      <c r="B269" s="46" t="s">
        <v>12</v>
      </c>
      <c r="C269" s="46" t="s">
        <v>18</v>
      </c>
      <c r="D269" s="46" t="s">
        <v>25</v>
      </c>
      <c r="E269" s="49">
        <v>73.28</v>
      </c>
      <c r="F269" s="48">
        <v>5</v>
      </c>
      <c r="G269" s="78">
        <f t="shared" si="4"/>
        <v>366.4</v>
      </c>
      <c r="H269" s="120">
        <v>43489</v>
      </c>
      <c r="I269" s="50">
        <v>0.62847222222222221</v>
      </c>
      <c r="J269" s="46" t="s">
        <v>17</v>
      </c>
      <c r="K269" s="51">
        <v>8.4</v>
      </c>
      <c r="L269" s="122" t="str">
        <f>IF(AND(Tabla_Ventas[[#This Row],[VENTA TOTAL]]&gt;=30,Tabla_Ventas[[#This Row],[TIPO DE CLIENTE/ Customer type]]="Member"),"PARTICIPA","NO PARTICIPA")</f>
        <v>NO PARTICIPA</v>
      </c>
    </row>
    <row r="270" spans="1:12" ht="19" x14ac:dyDescent="0.25">
      <c r="A270" s="45">
        <v>869113082</v>
      </c>
      <c r="B270" s="46" t="s">
        <v>12</v>
      </c>
      <c r="C270" s="46" t="s">
        <v>13</v>
      </c>
      <c r="D270" s="46" t="s">
        <v>20</v>
      </c>
      <c r="E270" s="49">
        <v>96.16</v>
      </c>
      <c r="F270" s="48">
        <v>4</v>
      </c>
      <c r="G270" s="78">
        <f t="shared" si="4"/>
        <v>384.64</v>
      </c>
      <c r="H270" s="120">
        <v>43492</v>
      </c>
      <c r="I270" s="50">
        <v>0.8354166666666667</v>
      </c>
      <c r="J270" s="46" t="s">
        <v>15</v>
      </c>
      <c r="K270" s="51">
        <v>8.4</v>
      </c>
      <c r="L270" s="122" t="str">
        <f>IF(AND(Tabla_Ventas[[#This Row],[VENTA TOTAL]]&gt;=30,Tabla_Ventas[[#This Row],[TIPO DE CLIENTE/ Customer type]]="Member"),"PARTICIPA","NO PARTICIPA")</f>
        <v>PARTICIPA</v>
      </c>
    </row>
    <row r="271" spans="1:12" ht="19" x14ac:dyDescent="0.25">
      <c r="A271" s="45">
        <v>384596655</v>
      </c>
      <c r="B271" s="46" t="s">
        <v>19</v>
      </c>
      <c r="C271" s="46" t="s">
        <v>13</v>
      </c>
      <c r="D271" s="46" t="s">
        <v>24</v>
      </c>
      <c r="E271" s="49">
        <v>98.66</v>
      </c>
      <c r="F271" s="48">
        <v>9</v>
      </c>
      <c r="G271" s="78">
        <f t="shared" si="4"/>
        <v>887.93999999999994</v>
      </c>
      <c r="H271" s="120">
        <v>43515</v>
      </c>
      <c r="I271" s="50">
        <v>0.62986111111111109</v>
      </c>
      <c r="J271" s="46" t="s">
        <v>23</v>
      </c>
      <c r="K271" s="51">
        <v>8.4</v>
      </c>
      <c r="L271" s="122" t="str">
        <f>IF(AND(Tabla_Ventas[[#This Row],[VENTA TOTAL]]&gt;=30,Tabla_Ventas[[#This Row],[TIPO DE CLIENTE/ Customer type]]="Member"),"PARTICIPA","NO PARTICIPA")</f>
        <v>PARTICIPA</v>
      </c>
    </row>
    <row r="272" spans="1:12" ht="19" x14ac:dyDescent="0.25">
      <c r="A272" s="45">
        <v>809461866</v>
      </c>
      <c r="B272" s="46" t="s">
        <v>19</v>
      </c>
      <c r="C272" s="46" t="s">
        <v>18</v>
      </c>
      <c r="D272" s="46" t="s">
        <v>20</v>
      </c>
      <c r="E272" s="49">
        <v>58.15</v>
      </c>
      <c r="F272" s="48">
        <v>4</v>
      </c>
      <c r="G272" s="78">
        <f t="shared" si="4"/>
        <v>232.6</v>
      </c>
      <c r="H272" s="120">
        <v>43488</v>
      </c>
      <c r="I272" s="50">
        <v>0.73888888888888893</v>
      </c>
      <c r="J272" s="46" t="s">
        <v>23</v>
      </c>
      <c r="K272" s="51">
        <v>8.4</v>
      </c>
      <c r="L272" s="122" t="str">
        <f>IF(AND(Tabla_Ventas[[#This Row],[VENTA TOTAL]]&gt;=30,Tabla_Ventas[[#This Row],[TIPO DE CLIENTE/ Customer type]]="Member"),"PARTICIPA","NO PARTICIPA")</f>
        <v>NO PARTICIPA</v>
      </c>
    </row>
    <row r="273" spans="1:12" ht="19" x14ac:dyDescent="0.25">
      <c r="A273" s="45">
        <v>430534718</v>
      </c>
      <c r="B273" s="46" t="s">
        <v>12</v>
      </c>
      <c r="C273" s="46" t="s">
        <v>13</v>
      </c>
      <c r="D273" s="46" t="s">
        <v>20</v>
      </c>
      <c r="E273" s="49">
        <v>75.37</v>
      </c>
      <c r="F273" s="48">
        <v>8</v>
      </c>
      <c r="G273" s="78">
        <f t="shared" si="4"/>
        <v>602.96</v>
      </c>
      <c r="H273" s="120">
        <v>43493</v>
      </c>
      <c r="I273" s="50">
        <v>0.65694444444444444</v>
      </c>
      <c r="J273" s="46" t="s">
        <v>15</v>
      </c>
      <c r="K273" s="51">
        <v>8.4</v>
      </c>
      <c r="L273" s="122" t="str">
        <f>IF(AND(Tabla_Ventas[[#This Row],[VENTA TOTAL]]&gt;=30,Tabla_Ventas[[#This Row],[TIPO DE CLIENTE/ Customer type]]="Member"),"PARTICIPA","NO PARTICIPA")</f>
        <v>PARTICIPA</v>
      </c>
    </row>
    <row r="274" spans="1:12" ht="19" x14ac:dyDescent="0.25">
      <c r="A274" s="45">
        <v>787560757</v>
      </c>
      <c r="B274" s="46" t="s">
        <v>12</v>
      </c>
      <c r="C274" s="46" t="s">
        <v>13</v>
      </c>
      <c r="D274" s="46" t="s">
        <v>24</v>
      </c>
      <c r="E274" s="47">
        <v>80.36</v>
      </c>
      <c r="F274" s="48">
        <v>4</v>
      </c>
      <c r="G274" s="78">
        <f t="shared" si="4"/>
        <v>321.44</v>
      </c>
      <c r="H274" s="120">
        <v>43519</v>
      </c>
      <c r="I274" s="50">
        <v>0.78125</v>
      </c>
      <c r="J274" s="46" t="s">
        <v>15</v>
      </c>
      <c r="K274" s="51">
        <v>8.3000000000000007</v>
      </c>
      <c r="L274" s="122" t="str">
        <f>IF(AND(Tabla_Ventas[[#This Row],[VENTA TOTAL]]&gt;=30,Tabla_Ventas[[#This Row],[TIPO DE CLIENTE/ Customer type]]="Member"),"PARTICIPA","NO PARTICIPA")</f>
        <v>PARTICIPA</v>
      </c>
    </row>
    <row r="275" spans="1:12" ht="19" x14ac:dyDescent="0.25">
      <c r="A275" s="45">
        <v>802705316</v>
      </c>
      <c r="B275" s="46" t="s">
        <v>19</v>
      </c>
      <c r="C275" s="46" t="s">
        <v>13</v>
      </c>
      <c r="D275" s="46" t="s">
        <v>14</v>
      </c>
      <c r="E275" s="47">
        <v>92.13</v>
      </c>
      <c r="F275" s="48">
        <v>6</v>
      </c>
      <c r="G275" s="78">
        <f t="shared" si="4"/>
        <v>552.78</v>
      </c>
      <c r="H275" s="120">
        <v>43530</v>
      </c>
      <c r="I275" s="50">
        <v>0.8569444444444444</v>
      </c>
      <c r="J275" s="46" t="s">
        <v>23</v>
      </c>
      <c r="K275" s="51">
        <v>8.3000000000000007</v>
      </c>
      <c r="L275" s="122" t="str">
        <f>IF(AND(Tabla_Ventas[[#This Row],[VENTA TOTAL]]&gt;=30,Tabla_Ventas[[#This Row],[TIPO DE CLIENTE/ Customer type]]="Member"),"PARTICIPA","NO PARTICIPA")</f>
        <v>PARTICIPA</v>
      </c>
    </row>
    <row r="276" spans="1:12" ht="19" x14ac:dyDescent="0.25">
      <c r="A276" s="45">
        <v>894415205</v>
      </c>
      <c r="B276" s="46" t="s">
        <v>12</v>
      </c>
      <c r="C276" s="46" t="s">
        <v>18</v>
      </c>
      <c r="D276" s="46" t="s">
        <v>24</v>
      </c>
      <c r="E276" s="47">
        <v>43.18</v>
      </c>
      <c r="F276" s="48">
        <v>8</v>
      </c>
      <c r="G276" s="78">
        <f t="shared" si="4"/>
        <v>345.44</v>
      </c>
      <c r="H276" s="120">
        <v>43484</v>
      </c>
      <c r="I276" s="50">
        <v>0.81874999999999998</v>
      </c>
      <c r="J276" s="46" t="s">
        <v>15</v>
      </c>
      <c r="K276" s="51">
        <v>8.3000000000000007</v>
      </c>
      <c r="L276" s="122" t="str">
        <f>IF(AND(Tabla_Ventas[[#This Row],[VENTA TOTAL]]&gt;=30,Tabla_Ventas[[#This Row],[TIPO DE CLIENTE/ Customer type]]="Member"),"PARTICIPA","NO PARTICIPA")</f>
        <v>NO PARTICIPA</v>
      </c>
    </row>
    <row r="277" spans="1:12" ht="19" x14ac:dyDescent="0.25">
      <c r="A277" s="45">
        <v>802438934</v>
      </c>
      <c r="B277" s="46" t="s">
        <v>19</v>
      </c>
      <c r="C277" s="46" t="s">
        <v>18</v>
      </c>
      <c r="D277" s="46" t="s">
        <v>25</v>
      </c>
      <c r="E277" s="47">
        <v>18.28</v>
      </c>
      <c r="F277" s="48">
        <v>1</v>
      </c>
      <c r="G277" s="78">
        <f t="shared" si="4"/>
        <v>18.28</v>
      </c>
      <c r="H277" s="120">
        <v>43519</v>
      </c>
      <c r="I277" s="50">
        <v>0.62847222222222221</v>
      </c>
      <c r="J277" s="46" t="s">
        <v>15</v>
      </c>
      <c r="K277" s="51">
        <v>8.3000000000000007</v>
      </c>
      <c r="L277" s="122" t="str">
        <f>IF(AND(Tabla_Ventas[[#This Row],[VENTA TOTAL]]&gt;=30,Tabla_Ventas[[#This Row],[TIPO DE CLIENTE/ Customer type]]="Member"),"PARTICIPA","NO PARTICIPA")</f>
        <v>NO PARTICIPA</v>
      </c>
    </row>
    <row r="278" spans="1:12" ht="19" x14ac:dyDescent="0.25">
      <c r="A278" s="45">
        <v>376028238</v>
      </c>
      <c r="B278" s="46" t="s">
        <v>16</v>
      </c>
      <c r="C278" s="46" t="s">
        <v>18</v>
      </c>
      <c r="D278" s="46" t="s">
        <v>25</v>
      </c>
      <c r="E278" s="47">
        <v>93.87</v>
      </c>
      <c r="F278" s="48">
        <v>8</v>
      </c>
      <c r="G278" s="78">
        <f t="shared" si="4"/>
        <v>750.96</v>
      </c>
      <c r="H278" s="120">
        <v>43498</v>
      </c>
      <c r="I278" s="50">
        <v>0.77916666666666667</v>
      </c>
      <c r="J278" s="46" t="s">
        <v>15</v>
      </c>
      <c r="K278" s="51">
        <v>8.3000000000000007</v>
      </c>
      <c r="L278" s="122" t="str">
        <f>IF(AND(Tabla_Ventas[[#This Row],[VENTA TOTAL]]&gt;=30,Tabla_Ventas[[#This Row],[TIPO DE CLIENTE/ Customer type]]="Member"),"PARTICIPA","NO PARTICIPA")</f>
        <v>NO PARTICIPA</v>
      </c>
    </row>
    <row r="279" spans="1:12" ht="19" x14ac:dyDescent="0.25">
      <c r="A279" s="45">
        <v>793103222</v>
      </c>
      <c r="B279" s="46" t="s">
        <v>16</v>
      </c>
      <c r="C279" s="46" t="s">
        <v>13</v>
      </c>
      <c r="D279" s="46" t="s">
        <v>20</v>
      </c>
      <c r="E279" s="47">
        <v>41.06</v>
      </c>
      <c r="F279" s="48">
        <v>6</v>
      </c>
      <c r="G279" s="78">
        <f t="shared" si="4"/>
        <v>246.36</v>
      </c>
      <c r="H279" s="120">
        <v>43529</v>
      </c>
      <c r="I279" s="50">
        <v>0.5625</v>
      </c>
      <c r="J279" s="46" t="s">
        <v>15</v>
      </c>
      <c r="K279" s="51">
        <v>8.3000000000000007</v>
      </c>
      <c r="L279" s="122" t="str">
        <f>IF(AND(Tabla_Ventas[[#This Row],[VENTA TOTAL]]&gt;=30,Tabla_Ventas[[#This Row],[TIPO DE CLIENTE/ Customer type]]="Member"),"PARTICIPA","NO PARTICIPA")</f>
        <v>PARTICIPA</v>
      </c>
    </row>
    <row r="280" spans="1:12" ht="19" x14ac:dyDescent="0.25">
      <c r="A280" s="45">
        <v>848071692</v>
      </c>
      <c r="B280" s="46" t="s">
        <v>16</v>
      </c>
      <c r="C280" s="46" t="s">
        <v>18</v>
      </c>
      <c r="D280" s="46" t="s">
        <v>20</v>
      </c>
      <c r="E280" s="47">
        <v>57.22</v>
      </c>
      <c r="F280" s="48">
        <v>2</v>
      </c>
      <c r="G280" s="78">
        <f t="shared" si="4"/>
        <v>114.44</v>
      </c>
      <c r="H280" s="120">
        <v>43477</v>
      </c>
      <c r="I280" s="50">
        <v>0.71736111111111101</v>
      </c>
      <c r="J280" s="46" t="s">
        <v>17</v>
      </c>
      <c r="K280" s="51">
        <v>8.3000000000000007</v>
      </c>
      <c r="L280" s="122" t="str">
        <f>IF(AND(Tabla_Ventas[[#This Row],[VENTA TOTAL]]&gt;=30,Tabla_Ventas[[#This Row],[TIPO DE CLIENTE/ Customer type]]="Member"),"PARTICIPA","NO PARTICIPA")</f>
        <v>NO PARTICIPA</v>
      </c>
    </row>
    <row r="281" spans="1:12" ht="19" x14ac:dyDescent="0.25">
      <c r="A281" s="45">
        <v>795497276</v>
      </c>
      <c r="B281" s="46" t="s">
        <v>19</v>
      </c>
      <c r="C281" s="46" t="s">
        <v>18</v>
      </c>
      <c r="D281" s="46" t="s">
        <v>22</v>
      </c>
      <c r="E281" s="47">
        <v>37.15</v>
      </c>
      <c r="F281" s="48">
        <v>4</v>
      </c>
      <c r="G281" s="78">
        <f t="shared" si="4"/>
        <v>148.6</v>
      </c>
      <c r="H281" s="120">
        <v>43547</v>
      </c>
      <c r="I281" s="50">
        <v>0.7909722222222223</v>
      </c>
      <c r="J281" s="46" t="s">
        <v>17</v>
      </c>
      <c r="K281" s="51">
        <v>8.3000000000000007</v>
      </c>
      <c r="L281" s="122" t="str">
        <f>IF(AND(Tabla_Ventas[[#This Row],[VENTA TOTAL]]&gt;=30,Tabla_Ventas[[#This Row],[TIPO DE CLIENTE/ Customer type]]="Member"),"PARTICIPA","NO PARTICIPA")</f>
        <v>NO PARTICIPA</v>
      </c>
    </row>
    <row r="282" spans="1:12" ht="19" x14ac:dyDescent="0.25">
      <c r="A282" s="45">
        <v>239484278</v>
      </c>
      <c r="B282" s="46" t="s">
        <v>19</v>
      </c>
      <c r="C282" s="46" t="s">
        <v>13</v>
      </c>
      <c r="D282" s="46" t="s">
        <v>24</v>
      </c>
      <c r="E282" s="47">
        <v>10.130000000000001</v>
      </c>
      <c r="F282" s="48">
        <v>7</v>
      </c>
      <c r="G282" s="78">
        <f t="shared" si="4"/>
        <v>70.910000000000011</v>
      </c>
      <c r="H282" s="120">
        <v>43534</v>
      </c>
      <c r="I282" s="50">
        <v>0.81597222222222221</v>
      </c>
      <c r="J282" s="46" t="s">
        <v>17</v>
      </c>
      <c r="K282" s="51">
        <v>8.3000000000000007</v>
      </c>
      <c r="L282" s="122" t="str">
        <f>IF(AND(Tabla_Ventas[[#This Row],[VENTA TOTAL]]&gt;=30,Tabla_Ventas[[#This Row],[TIPO DE CLIENTE/ Customer type]]="Member"),"PARTICIPA","NO PARTICIPA")</f>
        <v>PARTICIPA</v>
      </c>
    </row>
    <row r="283" spans="1:12" ht="19" x14ac:dyDescent="0.25">
      <c r="A283" s="45">
        <v>728887867</v>
      </c>
      <c r="B283" s="46" t="s">
        <v>16</v>
      </c>
      <c r="C283" s="46" t="s">
        <v>13</v>
      </c>
      <c r="D283" s="46" t="s">
        <v>25</v>
      </c>
      <c r="E283" s="49">
        <v>75.53</v>
      </c>
      <c r="F283" s="48">
        <v>4</v>
      </c>
      <c r="G283" s="78">
        <f t="shared" si="4"/>
        <v>302.12</v>
      </c>
      <c r="H283" s="120">
        <v>43543</v>
      </c>
      <c r="I283" s="50">
        <v>0.66111111111111109</v>
      </c>
      <c r="J283" s="46" t="s">
        <v>17</v>
      </c>
      <c r="K283" s="51">
        <v>8.3000000000000007</v>
      </c>
      <c r="L283" s="122" t="str">
        <f>IF(AND(Tabla_Ventas[[#This Row],[VENTA TOTAL]]&gt;=30,Tabla_Ventas[[#This Row],[TIPO DE CLIENTE/ Customer type]]="Member"),"PARTICIPA","NO PARTICIPA")</f>
        <v>PARTICIPA</v>
      </c>
    </row>
    <row r="284" spans="1:12" ht="19" x14ac:dyDescent="0.25">
      <c r="A284" s="45">
        <v>629424133</v>
      </c>
      <c r="B284" s="46" t="s">
        <v>16</v>
      </c>
      <c r="C284" s="46" t="s">
        <v>18</v>
      </c>
      <c r="D284" s="46" t="s">
        <v>20</v>
      </c>
      <c r="E284" s="49">
        <v>21.8</v>
      </c>
      <c r="F284" s="48">
        <v>8</v>
      </c>
      <c r="G284" s="78">
        <f t="shared" si="4"/>
        <v>174.4</v>
      </c>
      <c r="H284" s="120">
        <v>43515</v>
      </c>
      <c r="I284" s="50">
        <v>0.80833333333333324</v>
      </c>
      <c r="J284" s="46" t="s">
        <v>23</v>
      </c>
      <c r="K284" s="51">
        <v>8.3000000000000007</v>
      </c>
      <c r="L284" s="122" t="str">
        <f>IF(AND(Tabla_Ventas[[#This Row],[VENTA TOTAL]]&gt;=30,Tabla_Ventas[[#This Row],[TIPO DE CLIENTE/ Customer type]]="Member"),"PARTICIPA","NO PARTICIPA")</f>
        <v>NO PARTICIPA</v>
      </c>
    </row>
    <row r="285" spans="1:12" ht="19" x14ac:dyDescent="0.25">
      <c r="A285" s="45">
        <v>252562699</v>
      </c>
      <c r="B285" s="46" t="s">
        <v>19</v>
      </c>
      <c r="C285" s="46" t="s">
        <v>18</v>
      </c>
      <c r="D285" s="46" t="s">
        <v>24</v>
      </c>
      <c r="E285" s="47">
        <v>43.19</v>
      </c>
      <c r="F285" s="48">
        <v>10</v>
      </c>
      <c r="G285" s="78">
        <f t="shared" si="4"/>
        <v>431.9</v>
      </c>
      <c r="H285" s="120">
        <v>43503</v>
      </c>
      <c r="I285" s="50">
        <v>0.70000000000000007</v>
      </c>
      <c r="J285" s="46" t="s">
        <v>17</v>
      </c>
      <c r="K285" s="51">
        <v>8.1999999999999993</v>
      </c>
      <c r="L285" s="122" t="str">
        <f>IF(AND(Tabla_Ventas[[#This Row],[VENTA TOTAL]]&gt;=30,Tabla_Ventas[[#This Row],[TIPO DE CLIENTE/ Customer type]]="Member"),"PARTICIPA","NO PARTICIPA")</f>
        <v>NO PARTICIPA</v>
      </c>
    </row>
    <row r="286" spans="1:12" ht="19" x14ac:dyDescent="0.25">
      <c r="A286" s="45">
        <v>399465918</v>
      </c>
      <c r="B286" s="46" t="s">
        <v>12</v>
      </c>
      <c r="C286" s="46" t="s">
        <v>18</v>
      </c>
      <c r="D286" s="46" t="s">
        <v>21</v>
      </c>
      <c r="E286" s="47">
        <v>85.98</v>
      </c>
      <c r="F286" s="48">
        <v>8</v>
      </c>
      <c r="G286" s="78">
        <f t="shared" si="4"/>
        <v>687.84</v>
      </c>
      <c r="H286" s="120">
        <v>43524</v>
      </c>
      <c r="I286" s="50">
        <v>0.79236111111111107</v>
      </c>
      <c r="J286" s="46" t="s">
        <v>23</v>
      </c>
      <c r="K286" s="51">
        <v>8.1999999999999993</v>
      </c>
      <c r="L286" s="122" t="str">
        <f>IF(AND(Tabla_Ventas[[#This Row],[VENTA TOTAL]]&gt;=30,Tabla_Ventas[[#This Row],[TIPO DE CLIENTE/ Customer type]]="Member"),"PARTICIPA","NO PARTICIPA")</f>
        <v>NO PARTICIPA</v>
      </c>
    </row>
    <row r="287" spans="1:12" ht="19" x14ac:dyDescent="0.25">
      <c r="A287" s="45">
        <v>225320908</v>
      </c>
      <c r="B287" s="46" t="s">
        <v>12</v>
      </c>
      <c r="C287" s="46" t="s">
        <v>18</v>
      </c>
      <c r="D287" s="46" t="s">
        <v>14</v>
      </c>
      <c r="E287" s="47">
        <v>44.86</v>
      </c>
      <c r="F287" s="48">
        <v>10</v>
      </c>
      <c r="G287" s="78">
        <f t="shared" si="4"/>
        <v>448.6</v>
      </c>
      <c r="H287" s="120">
        <v>43491</v>
      </c>
      <c r="I287" s="50">
        <v>0.82916666666666661</v>
      </c>
      <c r="J287" s="46" t="s">
        <v>17</v>
      </c>
      <c r="K287" s="51">
        <v>8.1999999999999993</v>
      </c>
      <c r="L287" s="122" t="str">
        <f>IF(AND(Tabla_Ventas[[#This Row],[VENTA TOTAL]]&gt;=30,Tabla_Ventas[[#This Row],[TIPO DE CLIENTE/ Customer type]]="Member"),"PARTICIPA","NO PARTICIPA")</f>
        <v>NO PARTICIPA</v>
      </c>
    </row>
    <row r="288" spans="1:12" ht="19" x14ac:dyDescent="0.25">
      <c r="A288" s="45">
        <v>241729525</v>
      </c>
      <c r="B288" s="46" t="s">
        <v>16</v>
      </c>
      <c r="C288" s="46" t="s">
        <v>18</v>
      </c>
      <c r="D288" s="46" t="s">
        <v>14</v>
      </c>
      <c r="E288" s="47">
        <v>51.91</v>
      </c>
      <c r="F288" s="48">
        <v>10</v>
      </c>
      <c r="G288" s="78">
        <f t="shared" si="4"/>
        <v>519.09999999999991</v>
      </c>
      <c r="H288" s="120">
        <v>43512</v>
      </c>
      <c r="I288" s="50">
        <v>0.51458333333333328</v>
      </c>
      <c r="J288" s="46" t="s">
        <v>23</v>
      </c>
      <c r="K288" s="51">
        <v>8.1999999999999993</v>
      </c>
      <c r="L288" s="122" t="str">
        <f>IF(AND(Tabla_Ventas[[#This Row],[VENTA TOTAL]]&gt;=30,Tabla_Ventas[[#This Row],[TIPO DE CLIENTE/ Customer type]]="Member"),"PARTICIPA","NO PARTICIPA")</f>
        <v>NO PARTICIPA</v>
      </c>
    </row>
    <row r="289" spans="1:12" ht="19" x14ac:dyDescent="0.25">
      <c r="A289" s="45">
        <v>699014164</v>
      </c>
      <c r="B289" s="46" t="s">
        <v>12</v>
      </c>
      <c r="C289" s="46" t="s">
        <v>18</v>
      </c>
      <c r="D289" s="46" t="s">
        <v>20</v>
      </c>
      <c r="E289" s="47">
        <v>41.5</v>
      </c>
      <c r="F289" s="48">
        <v>4</v>
      </c>
      <c r="G289" s="78">
        <f t="shared" si="4"/>
        <v>166</v>
      </c>
      <c r="H289" s="120">
        <v>43509</v>
      </c>
      <c r="I289" s="50">
        <v>0.83194444444444438</v>
      </c>
      <c r="J289" s="46" t="s">
        <v>15</v>
      </c>
      <c r="K289" s="51">
        <v>8.1999999999999993</v>
      </c>
      <c r="L289" s="122" t="str">
        <f>IF(AND(Tabla_Ventas[[#This Row],[VENTA TOTAL]]&gt;=30,Tabla_Ventas[[#This Row],[TIPO DE CLIENTE/ Customer type]]="Member"),"PARTICIPA","NO PARTICIPA")</f>
        <v>NO PARTICIPA</v>
      </c>
    </row>
    <row r="290" spans="1:12" ht="19" x14ac:dyDescent="0.25">
      <c r="A290" s="45">
        <v>279621445</v>
      </c>
      <c r="B290" s="46" t="s">
        <v>12</v>
      </c>
      <c r="C290" s="46" t="s">
        <v>13</v>
      </c>
      <c r="D290" s="46" t="s">
        <v>22</v>
      </c>
      <c r="E290" s="47">
        <v>12.54</v>
      </c>
      <c r="F290" s="48">
        <v>1</v>
      </c>
      <c r="G290" s="78">
        <f t="shared" si="4"/>
        <v>12.54</v>
      </c>
      <c r="H290" s="120">
        <v>43517</v>
      </c>
      <c r="I290" s="50">
        <v>0.52638888888888891</v>
      </c>
      <c r="J290" s="46" t="s">
        <v>23</v>
      </c>
      <c r="K290" s="51">
        <v>8.1999999999999993</v>
      </c>
      <c r="L290" s="122" t="str">
        <f>IF(AND(Tabla_Ventas[[#This Row],[VENTA TOTAL]]&gt;=30,Tabla_Ventas[[#This Row],[TIPO DE CLIENTE/ Customer type]]="Member"),"PARTICIPA","NO PARTICIPA")</f>
        <v>NO PARTICIPA</v>
      </c>
    </row>
    <row r="291" spans="1:12" ht="19" x14ac:dyDescent="0.25">
      <c r="A291" s="45">
        <v>745713520</v>
      </c>
      <c r="B291" s="46" t="s">
        <v>19</v>
      </c>
      <c r="C291" s="46" t="s">
        <v>13</v>
      </c>
      <c r="D291" s="46" t="s">
        <v>21</v>
      </c>
      <c r="E291" s="47">
        <v>25.22</v>
      </c>
      <c r="F291" s="48">
        <v>7</v>
      </c>
      <c r="G291" s="78">
        <f t="shared" si="4"/>
        <v>176.54</v>
      </c>
      <c r="H291" s="120">
        <v>43500</v>
      </c>
      <c r="I291" s="50">
        <v>0.43263888888888885</v>
      </c>
      <c r="J291" s="46" t="s">
        <v>23</v>
      </c>
      <c r="K291" s="51">
        <v>8.1999999999999993</v>
      </c>
      <c r="L291" s="122" t="str">
        <f>IF(AND(Tabla_Ventas[[#This Row],[VENTA TOTAL]]&gt;=30,Tabla_Ventas[[#This Row],[TIPO DE CLIENTE/ Customer type]]="Member"),"PARTICIPA","NO PARTICIPA")</f>
        <v>PARTICIPA</v>
      </c>
    </row>
    <row r="292" spans="1:12" ht="19" x14ac:dyDescent="0.25">
      <c r="A292" s="45">
        <v>686410932</v>
      </c>
      <c r="B292" s="46" t="s">
        <v>16</v>
      </c>
      <c r="C292" s="46" t="s">
        <v>18</v>
      </c>
      <c r="D292" s="46" t="s">
        <v>22</v>
      </c>
      <c r="E292" s="47">
        <v>34.700000000000003</v>
      </c>
      <c r="F292" s="48">
        <v>2</v>
      </c>
      <c r="G292" s="78">
        <f t="shared" si="4"/>
        <v>69.400000000000006</v>
      </c>
      <c r="H292" s="120">
        <v>43537</v>
      </c>
      <c r="I292" s="50">
        <v>0.82500000000000007</v>
      </c>
      <c r="J292" s="46" t="s">
        <v>17</v>
      </c>
      <c r="K292" s="51">
        <v>8.1999999999999993</v>
      </c>
      <c r="L292" s="122" t="str">
        <f>IF(AND(Tabla_Ventas[[#This Row],[VENTA TOTAL]]&gt;=30,Tabla_Ventas[[#This Row],[TIPO DE CLIENTE/ Customer type]]="Member"),"PARTICIPA","NO PARTICIPA")</f>
        <v>NO PARTICIPA</v>
      </c>
    </row>
    <row r="293" spans="1:12" ht="19" x14ac:dyDescent="0.25">
      <c r="A293" s="45">
        <v>503070930</v>
      </c>
      <c r="B293" s="46" t="s">
        <v>12</v>
      </c>
      <c r="C293" s="46" t="s">
        <v>13</v>
      </c>
      <c r="D293" s="46" t="s">
        <v>14</v>
      </c>
      <c r="E293" s="47">
        <v>58.39</v>
      </c>
      <c r="F293" s="48">
        <v>7</v>
      </c>
      <c r="G293" s="78">
        <f t="shared" si="4"/>
        <v>408.73</v>
      </c>
      <c r="H293" s="120">
        <v>43519</v>
      </c>
      <c r="I293" s="50">
        <v>0.8256944444444444</v>
      </c>
      <c r="J293" s="46" t="s">
        <v>15</v>
      </c>
      <c r="K293" s="51">
        <v>8.1999999999999993</v>
      </c>
      <c r="L293" s="122" t="str">
        <f>IF(AND(Tabla_Ventas[[#This Row],[VENTA TOTAL]]&gt;=30,Tabla_Ventas[[#This Row],[TIPO DE CLIENTE/ Customer type]]="Member"),"PARTICIPA","NO PARTICIPA")</f>
        <v>PARTICIPA</v>
      </c>
    </row>
    <row r="294" spans="1:12" ht="19" x14ac:dyDescent="0.25">
      <c r="A294" s="45">
        <v>857679057</v>
      </c>
      <c r="B294" s="46" t="s">
        <v>16</v>
      </c>
      <c r="C294" s="46" t="s">
        <v>18</v>
      </c>
      <c r="D294" s="46" t="s">
        <v>21</v>
      </c>
      <c r="E294" s="47">
        <v>22.95</v>
      </c>
      <c r="F294" s="48">
        <v>10</v>
      </c>
      <c r="G294" s="78">
        <f t="shared" si="4"/>
        <v>229.5</v>
      </c>
      <c r="H294" s="120">
        <v>43618</v>
      </c>
      <c r="I294" s="50">
        <v>0.80555555555555547</v>
      </c>
      <c r="J294" s="46" t="s">
        <v>17</v>
      </c>
      <c r="K294" s="51">
        <v>8.1999999999999993</v>
      </c>
      <c r="L294" s="122" t="str">
        <f>IF(AND(Tabla_Ventas[[#This Row],[VENTA TOTAL]]&gt;=30,Tabla_Ventas[[#This Row],[TIPO DE CLIENTE/ Customer type]]="Member"),"PARTICIPA","NO PARTICIPA")</f>
        <v>NO PARTICIPA</v>
      </c>
    </row>
    <row r="295" spans="1:12" ht="19" x14ac:dyDescent="0.25">
      <c r="A295" s="45">
        <v>218599410</v>
      </c>
      <c r="B295" s="46" t="s">
        <v>19</v>
      </c>
      <c r="C295" s="46" t="s">
        <v>13</v>
      </c>
      <c r="D295" s="46" t="s">
        <v>25</v>
      </c>
      <c r="E295" s="47">
        <v>72.42</v>
      </c>
      <c r="F295" s="48">
        <v>3</v>
      </c>
      <c r="G295" s="78">
        <f t="shared" si="4"/>
        <v>217.26</v>
      </c>
      <c r="H295" s="120">
        <v>43553</v>
      </c>
      <c r="I295" s="50">
        <v>0.70416666666666661</v>
      </c>
      <c r="J295" s="46" t="s">
        <v>17</v>
      </c>
      <c r="K295" s="51">
        <v>8.1999999999999993</v>
      </c>
      <c r="L295" s="122" t="str">
        <f>IF(AND(Tabla_Ventas[[#This Row],[VENTA TOTAL]]&gt;=30,Tabla_Ventas[[#This Row],[TIPO DE CLIENTE/ Customer type]]="Member"),"PARTICIPA","NO PARTICIPA")</f>
        <v>PARTICIPA</v>
      </c>
    </row>
    <row r="296" spans="1:12" ht="19" x14ac:dyDescent="0.25">
      <c r="A296" s="45">
        <v>308391707</v>
      </c>
      <c r="B296" s="46" t="s">
        <v>19</v>
      </c>
      <c r="C296" s="46" t="s">
        <v>18</v>
      </c>
      <c r="D296" s="46" t="s">
        <v>22</v>
      </c>
      <c r="E296" s="49">
        <v>12.09</v>
      </c>
      <c r="F296" s="48">
        <v>1</v>
      </c>
      <c r="G296" s="78">
        <f t="shared" si="4"/>
        <v>12.09</v>
      </c>
      <c r="H296" s="120">
        <v>43491</v>
      </c>
      <c r="I296" s="50">
        <v>0.7631944444444444</v>
      </c>
      <c r="J296" s="46" t="s">
        <v>15</v>
      </c>
      <c r="K296" s="51">
        <v>8.1999999999999993</v>
      </c>
      <c r="L296" s="122" t="str">
        <f>IF(AND(Tabla_Ventas[[#This Row],[VENTA TOTAL]]&gt;=30,Tabla_Ventas[[#This Row],[TIPO DE CLIENTE/ Customer type]]="Member"),"PARTICIPA","NO PARTICIPA")</f>
        <v>NO PARTICIPA</v>
      </c>
    </row>
    <row r="297" spans="1:12" ht="19" x14ac:dyDescent="0.25">
      <c r="A297" s="45">
        <v>748452862</v>
      </c>
      <c r="B297" s="46" t="s">
        <v>19</v>
      </c>
      <c r="C297" s="46" t="s">
        <v>13</v>
      </c>
      <c r="D297" s="46" t="s">
        <v>25</v>
      </c>
      <c r="E297" s="49">
        <v>28.31</v>
      </c>
      <c r="F297" s="48">
        <v>4</v>
      </c>
      <c r="G297" s="78">
        <f t="shared" si="4"/>
        <v>113.24</v>
      </c>
      <c r="H297" s="120">
        <v>43531</v>
      </c>
      <c r="I297" s="50">
        <v>0.77430555555555547</v>
      </c>
      <c r="J297" s="46" t="s">
        <v>23</v>
      </c>
      <c r="K297" s="51">
        <v>8.1999999999999993</v>
      </c>
      <c r="L297" s="122" t="str">
        <f>IF(AND(Tabla_Ventas[[#This Row],[VENTA TOTAL]]&gt;=30,Tabla_Ventas[[#This Row],[TIPO DE CLIENTE/ Customer type]]="Member"),"PARTICIPA","NO PARTICIPA")</f>
        <v>PARTICIPA</v>
      </c>
    </row>
    <row r="298" spans="1:12" ht="19" x14ac:dyDescent="0.25">
      <c r="A298" s="45">
        <v>744829138</v>
      </c>
      <c r="B298" s="46" t="s">
        <v>16</v>
      </c>
      <c r="C298" s="46" t="s">
        <v>18</v>
      </c>
      <c r="D298" s="46" t="s">
        <v>22</v>
      </c>
      <c r="E298" s="49">
        <v>86.13</v>
      </c>
      <c r="F298" s="48">
        <v>2</v>
      </c>
      <c r="G298" s="78">
        <f t="shared" si="4"/>
        <v>172.26</v>
      </c>
      <c r="H298" s="120">
        <v>43503</v>
      </c>
      <c r="I298" s="50">
        <v>0.74930555555555556</v>
      </c>
      <c r="J298" s="46" t="s">
        <v>23</v>
      </c>
      <c r="K298" s="51">
        <v>8.1999999999999993</v>
      </c>
      <c r="L298" s="122" t="str">
        <f>IF(AND(Tabla_Ventas[[#This Row],[VENTA TOTAL]]&gt;=30,Tabla_Ventas[[#This Row],[TIPO DE CLIENTE/ Customer type]]="Member"),"PARTICIPA","NO PARTICIPA")</f>
        <v>NO PARTICIPA</v>
      </c>
    </row>
    <row r="299" spans="1:12" ht="19" x14ac:dyDescent="0.25">
      <c r="A299" s="45">
        <v>669541719</v>
      </c>
      <c r="B299" s="46" t="s">
        <v>16</v>
      </c>
      <c r="C299" s="46" t="s">
        <v>13</v>
      </c>
      <c r="D299" s="46" t="s">
        <v>21</v>
      </c>
      <c r="E299" s="47">
        <v>18.93</v>
      </c>
      <c r="F299" s="48">
        <v>6</v>
      </c>
      <c r="G299" s="78">
        <f t="shared" si="4"/>
        <v>113.58</v>
      </c>
      <c r="H299" s="120">
        <v>43506</v>
      </c>
      <c r="I299" s="50">
        <v>0.53125</v>
      </c>
      <c r="J299" s="46" t="s">
        <v>15</v>
      </c>
      <c r="K299" s="51">
        <v>8.1</v>
      </c>
      <c r="L299" s="122" t="str">
        <f>IF(AND(Tabla_Ventas[[#This Row],[VENTA TOTAL]]&gt;=30,Tabla_Ventas[[#This Row],[TIPO DE CLIENTE/ Customer type]]="Member"),"PARTICIPA","NO PARTICIPA")</f>
        <v>PARTICIPA</v>
      </c>
    </row>
    <row r="300" spans="1:12" ht="19" x14ac:dyDescent="0.25">
      <c r="A300" s="45">
        <v>280174359</v>
      </c>
      <c r="B300" s="46" t="s">
        <v>12</v>
      </c>
      <c r="C300" s="46" t="s">
        <v>13</v>
      </c>
      <c r="D300" s="46" t="s">
        <v>20</v>
      </c>
      <c r="E300" s="47">
        <v>90.5</v>
      </c>
      <c r="F300" s="48">
        <v>10</v>
      </c>
      <c r="G300" s="78">
        <f t="shared" si="4"/>
        <v>905</v>
      </c>
      <c r="H300" s="120">
        <v>43490</v>
      </c>
      <c r="I300" s="50">
        <v>0.57500000000000007</v>
      </c>
      <c r="J300" s="46" t="s">
        <v>23</v>
      </c>
      <c r="K300" s="51">
        <v>8.1</v>
      </c>
      <c r="L300" s="122" t="str">
        <f>IF(AND(Tabla_Ventas[[#This Row],[VENTA TOTAL]]&gt;=30,Tabla_Ventas[[#This Row],[TIPO DE CLIENTE/ Customer type]]="Member"),"PARTICIPA","NO PARTICIPA")</f>
        <v>PARTICIPA</v>
      </c>
    </row>
    <row r="301" spans="1:12" ht="19" x14ac:dyDescent="0.25">
      <c r="A301" s="45">
        <v>704204138</v>
      </c>
      <c r="B301" s="46" t="s">
        <v>12</v>
      </c>
      <c r="C301" s="46" t="s">
        <v>13</v>
      </c>
      <c r="D301" s="46" t="s">
        <v>20</v>
      </c>
      <c r="E301" s="47">
        <v>29.67</v>
      </c>
      <c r="F301" s="48">
        <v>7</v>
      </c>
      <c r="G301" s="78">
        <f t="shared" si="4"/>
        <v>207.69</v>
      </c>
      <c r="H301" s="120">
        <v>43478</v>
      </c>
      <c r="I301" s="50">
        <v>0.79027777777777775</v>
      </c>
      <c r="J301" s="46" t="s">
        <v>15</v>
      </c>
      <c r="K301" s="51">
        <v>8.1</v>
      </c>
      <c r="L301" s="122" t="str">
        <f>IF(AND(Tabla_Ventas[[#This Row],[VENTA TOTAL]]&gt;=30,Tabla_Ventas[[#This Row],[TIPO DE CLIENTE/ Customer type]]="Member"),"PARTICIPA","NO PARTICIPA")</f>
        <v>PARTICIPA</v>
      </c>
    </row>
    <row r="302" spans="1:12" ht="19" x14ac:dyDescent="0.25">
      <c r="A302" s="45">
        <v>541899860</v>
      </c>
      <c r="B302" s="46" t="s">
        <v>12</v>
      </c>
      <c r="C302" s="46" t="s">
        <v>13</v>
      </c>
      <c r="D302" s="46" t="s">
        <v>22</v>
      </c>
      <c r="E302" s="47">
        <v>80.48</v>
      </c>
      <c r="F302" s="48">
        <v>3</v>
      </c>
      <c r="G302" s="78">
        <f t="shared" si="4"/>
        <v>241.44</v>
      </c>
      <c r="H302" s="120">
        <v>43511</v>
      </c>
      <c r="I302" s="50">
        <v>0.52152777777777781</v>
      </c>
      <c r="J302" s="46" t="s">
        <v>23</v>
      </c>
      <c r="K302" s="51">
        <v>8.1</v>
      </c>
      <c r="L302" s="122" t="str">
        <f>IF(AND(Tabla_Ventas[[#This Row],[VENTA TOTAL]]&gt;=30,Tabla_Ventas[[#This Row],[TIPO DE CLIENTE/ Customer type]]="Member"),"PARTICIPA","NO PARTICIPA")</f>
        <v>PARTICIPA</v>
      </c>
    </row>
    <row r="303" spans="1:12" ht="19" x14ac:dyDescent="0.25">
      <c r="A303" s="45">
        <v>450282866</v>
      </c>
      <c r="B303" s="46" t="s">
        <v>12</v>
      </c>
      <c r="C303" s="46" t="s">
        <v>13</v>
      </c>
      <c r="D303" s="46" t="s">
        <v>24</v>
      </c>
      <c r="E303" s="47">
        <v>17.440000000000001</v>
      </c>
      <c r="F303" s="48">
        <v>5</v>
      </c>
      <c r="G303" s="78">
        <f t="shared" si="4"/>
        <v>87.2</v>
      </c>
      <c r="H303" s="120">
        <v>43480</v>
      </c>
      <c r="I303" s="50">
        <v>0.80902777777777779</v>
      </c>
      <c r="J303" s="46" t="s">
        <v>23</v>
      </c>
      <c r="K303" s="51">
        <v>8.1</v>
      </c>
      <c r="L303" s="122" t="str">
        <f>IF(AND(Tabla_Ventas[[#This Row],[VENTA TOTAL]]&gt;=30,Tabla_Ventas[[#This Row],[TIPO DE CLIENTE/ Customer type]]="Member"),"PARTICIPA","NO PARTICIPA")</f>
        <v>PARTICIPA</v>
      </c>
    </row>
    <row r="304" spans="1:12" ht="19" x14ac:dyDescent="0.25">
      <c r="A304" s="45">
        <v>355346244</v>
      </c>
      <c r="B304" s="46" t="s">
        <v>16</v>
      </c>
      <c r="C304" s="46" t="s">
        <v>18</v>
      </c>
      <c r="D304" s="46" t="s">
        <v>24</v>
      </c>
      <c r="E304" s="47">
        <v>72.39</v>
      </c>
      <c r="F304" s="48">
        <v>2</v>
      </c>
      <c r="G304" s="78">
        <f t="shared" si="4"/>
        <v>144.78</v>
      </c>
      <c r="H304" s="120">
        <v>43478</v>
      </c>
      <c r="I304" s="50">
        <v>0.82986111111111116</v>
      </c>
      <c r="J304" s="46" t="s">
        <v>15</v>
      </c>
      <c r="K304" s="51">
        <v>8.1</v>
      </c>
      <c r="L304" s="122" t="str">
        <f>IF(AND(Tabla_Ventas[[#This Row],[VENTA TOTAL]]&gt;=30,Tabla_Ventas[[#This Row],[TIPO DE CLIENTE/ Customer type]]="Member"),"PARTICIPA","NO PARTICIPA")</f>
        <v>NO PARTICIPA</v>
      </c>
    </row>
    <row r="305" spans="1:12" ht="19" x14ac:dyDescent="0.25">
      <c r="A305" s="45">
        <v>207731363</v>
      </c>
      <c r="B305" s="46" t="s">
        <v>16</v>
      </c>
      <c r="C305" s="46" t="s">
        <v>18</v>
      </c>
      <c r="D305" s="46" t="s">
        <v>20</v>
      </c>
      <c r="E305" s="47">
        <v>69.510000000000005</v>
      </c>
      <c r="F305" s="48">
        <v>2</v>
      </c>
      <c r="G305" s="78">
        <f t="shared" si="4"/>
        <v>139.02000000000001</v>
      </c>
      <c r="H305" s="120">
        <v>43468</v>
      </c>
      <c r="I305" s="50">
        <v>0.51041666666666663</v>
      </c>
      <c r="J305" s="46" t="s">
        <v>17</v>
      </c>
      <c r="K305" s="51">
        <v>8.1</v>
      </c>
      <c r="L305" s="122" t="str">
        <f>IF(AND(Tabla_Ventas[[#This Row],[VENTA TOTAL]]&gt;=30,Tabla_Ventas[[#This Row],[TIPO DE CLIENTE/ Customer type]]="Member"),"PARTICIPA","NO PARTICIPA")</f>
        <v>NO PARTICIPA</v>
      </c>
    </row>
    <row r="306" spans="1:12" ht="19" x14ac:dyDescent="0.25">
      <c r="A306" s="45">
        <v>648943045</v>
      </c>
      <c r="B306" s="46" t="s">
        <v>16</v>
      </c>
      <c r="C306" s="46" t="s">
        <v>18</v>
      </c>
      <c r="D306" s="46" t="s">
        <v>20</v>
      </c>
      <c r="E306" s="49">
        <v>58.95</v>
      </c>
      <c r="F306" s="48">
        <v>10</v>
      </c>
      <c r="G306" s="78">
        <f t="shared" si="4"/>
        <v>589.5</v>
      </c>
      <c r="H306" s="120">
        <v>43503</v>
      </c>
      <c r="I306" s="50">
        <v>0.6020833333333333</v>
      </c>
      <c r="J306" s="46" t="s">
        <v>17</v>
      </c>
      <c r="K306" s="51">
        <v>8.1</v>
      </c>
      <c r="L306" s="122" t="str">
        <f>IF(AND(Tabla_Ventas[[#This Row],[VENTA TOTAL]]&gt;=30,Tabla_Ventas[[#This Row],[TIPO DE CLIENTE/ Customer type]]="Member"),"PARTICIPA","NO PARTICIPA")</f>
        <v>NO PARTICIPA</v>
      </c>
    </row>
    <row r="307" spans="1:12" ht="19" x14ac:dyDescent="0.25">
      <c r="A307" s="45">
        <v>482171179</v>
      </c>
      <c r="B307" s="46" t="s">
        <v>19</v>
      </c>
      <c r="C307" s="46" t="s">
        <v>13</v>
      </c>
      <c r="D307" s="46" t="s">
        <v>21</v>
      </c>
      <c r="E307" s="49">
        <v>11.94</v>
      </c>
      <c r="F307" s="48">
        <v>3</v>
      </c>
      <c r="G307" s="78">
        <f t="shared" si="4"/>
        <v>35.82</v>
      </c>
      <c r="H307" s="120">
        <v>43484</v>
      </c>
      <c r="I307" s="50">
        <v>0.53263888888888888</v>
      </c>
      <c r="J307" s="46" t="s">
        <v>15</v>
      </c>
      <c r="K307" s="51">
        <v>8.1</v>
      </c>
      <c r="L307" s="122" t="str">
        <f>IF(AND(Tabla_Ventas[[#This Row],[VENTA TOTAL]]&gt;=30,Tabla_Ventas[[#This Row],[TIPO DE CLIENTE/ Customer type]]="Member"),"PARTICIPA","NO PARTICIPA")</f>
        <v>PARTICIPA</v>
      </c>
    </row>
    <row r="308" spans="1:12" ht="19" x14ac:dyDescent="0.25">
      <c r="A308" s="45">
        <v>386277606</v>
      </c>
      <c r="B308" s="46" t="s">
        <v>16</v>
      </c>
      <c r="C308" s="46" t="s">
        <v>13</v>
      </c>
      <c r="D308" s="46" t="s">
        <v>25</v>
      </c>
      <c r="E308" s="49">
        <v>81.2</v>
      </c>
      <c r="F308" s="48">
        <v>7</v>
      </c>
      <c r="G308" s="78">
        <f t="shared" si="4"/>
        <v>568.4</v>
      </c>
      <c r="H308" s="120">
        <v>43547</v>
      </c>
      <c r="I308" s="50">
        <v>0.66597222222222219</v>
      </c>
      <c r="J308" s="46" t="s">
        <v>15</v>
      </c>
      <c r="K308" s="51">
        <v>8.1</v>
      </c>
      <c r="L308" s="122" t="str">
        <f>IF(AND(Tabla_Ventas[[#This Row],[VENTA TOTAL]]&gt;=30,Tabla_Ventas[[#This Row],[TIPO DE CLIENTE/ Customer type]]="Member"),"PARTICIPA","NO PARTICIPA")</f>
        <v>PARTICIPA</v>
      </c>
    </row>
    <row r="309" spans="1:12" ht="19" x14ac:dyDescent="0.25">
      <c r="A309" s="45">
        <v>864247918</v>
      </c>
      <c r="B309" s="46" t="s">
        <v>19</v>
      </c>
      <c r="C309" s="46" t="s">
        <v>13</v>
      </c>
      <c r="D309" s="46" t="s">
        <v>14</v>
      </c>
      <c r="E309" s="49">
        <v>24.49</v>
      </c>
      <c r="F309" s="48">
        <v>10</v>
      </c>
      <c r="G309" s="78">
        <f t="shared" si="4"/>
        <v>244.89999999999998</v>
      </c>
      <c r="H309" s="120">
        <v>43518</v>
      </c>
      <c r="I309" s="50">
        <v>0.63541666666666663</v>
      </c>
      <c r="J309" s="46" t="s">
        <v>23</v>
      </c>
      <c r="K309" s="51">
        <v>8.1</v>
      </c>
      <c r="L309" s="122" t="str">
        <f>IF(AND(Tabla_Ventas[[#This Row],[VENTA TOTAL]]&gt;=30,Tabla_Ventas[[#This Row],[TIPO DE CLIENTE/ Customer type]]="Member"),"PARTICIPA","NO PARTICIPA")</f>
        <v>PARTICIPA</v>
      </c>
    </row>
    <row r="310" spans="1:12" ht="19" x14ac:dyDescent="0.25">
      <c r="A310" s="45">
        <v>114355271</v>
      </c>
      <c r="B310" s="46" t="s">
        <v>12</v>
      </c>
      <c r="C310" s="46" t="s">
        <v>18</v>
      </c>
      <c r="D310" s="46" t="s">
        <v>21</v>
      </c>
      <c r="E310" s="49">
        <v>57.91</v>
      </c>
      <c r="F310" s="48">
        <v>8</v>
      </c>
      <c r="G310" s="78">
        <f t="shared" si="4"/>
        <v>463.28</v>
      </c>
      <c r="H310" s="120">
        <v>43503</v>
      </c>
      <c r="I310" s="50">
        <v>0.62916666666666665</v>
      </c>
      <c r="J310" s="46" t="s">
        <v>23</v>
      </c>
      <c r="K310" s="51">
        <v>8.1</v>
      </c>
      <c r="L310" s="122" t="str">
        <f>IF(AND(Tabla_Ventas[[#This Row],[VENTA TOTAL]]&gt;=30,Tabla_Ventas[[#This Row],[TIPO DE CLIENTE/ Customer type]]="Member"),"PARTICIPA","NO PARTICIPA")</f>
        <v>NO PARTICIPA</v>
      </c>
    </row>
    <row r="311" spans="1:12" ht="19" x14ac:dyDescent="0.25">
      <c r="A311" s="45">
        <v>865419075</v>
      </c>
      <c r="B311" s="46" t="s">
        <v>19</v>
      </c>
      <c r="C311" s="46" t="s">
        <v>18</v>
      </c>
      <c r="D311" s="46" t="s">
        <v>24</v>
      </c>
      <c r="E311" s="49">
        <v>11.53</v>
      </c>
      <c r="F311" s="48">
        <v>7</v>
      </c>
      <c r="G311" s="78">
        <f t="shared" si="4"/>
        <v>80.709999999999994</v>
      </c>
      <c r="H311" s="120">
        <v>43493</v>
      </c>
      <c r="I311" s="50">
        <v>0.73263888888888884</v>
      </c>
      <c r="J311" s="46" t="s">
        <v>23</v>
      </c>
      <c r="K311" s="51">
        <v>8.1</v>
      </c>
      <c r="L311" s="122" t="str">
        <f>IF(AND(Tabla_Ventas[[#This Row],[VENTA TOTAL]]&gt;=30,Tabla_Ventas[[#This Row],[TIPO DE CLIENTE/ Customer type]]="Member"),"PARTICIPA","NO PARTICIPA")</f>
        <v>NO PARTICIPA</v>
      </c>
    </row>
    <row r="312" spans="1:12" ht="19" x14ac:dyDescent="0.25">
      <c r="A312" s="45">
        <v>315225665</v>
      </c>
      <c r="B312" s="46" t="s">
        <v>12</v>
      </c>
      <c r="C312" s="46" t="s">
        <v>18</v>
      </c>
      <c r="D312" s="46" t="s">
        <v>25</v>
      </c>
      <c r="E312" s="47">
        <v>73.56</v>
      </c>
      <c r="F312" s="48">
        <v>10</v>
      </c>
      <c r="G312" s="78">
        <f t="shared" si="4"/>
        <v>735.6</v>
      </c>
      <c r="H312" s="120">
        <v>43520</v>
      </c>
      <c r="I312" s="50">
        <v>0.48472222222222222</v>
      </c>
      <c r="J312" s="46" t="s">
        <v>17</v>
      </c>
      <c r="K312" s="51">
        <v>8</v>
      </c>
      <c r="L312" s="122" t="str">
        <f>IF(AND(Tabla_Ventas[[#This Row],[VENTA TOTAL]]&gt;=30,Tabla_Ventas[[#This Row],[TIPO DE CLIENTE/ Customer type]]="Member"),"PARTICIPA","NO PARTICIPA")</f>
        <v>NO PARTICIPA</v>
      </c>
    </row>
    <row r="313" spans="1:12" ht="19" x14ac:dyDescent="0.25">
      <c r="A313" s="45">
        <v>716391409</v>
      </c>
      <c r="B313" s="46" t="s">
        <v>16</v>
      </c>
      <c r="C313" s="46" t="s">
        <v>18</v>
      </c>
      <c r="D313" s="46" t="s">
        <v>20</v>
      </c>
      <c r="E313" s="47">
        <v>30.35</v>
      </c>
      <c r="F313" s="48">
        <v>7</v>
      </c>
      <c r="G313" s="78">
        <f t="shared" si="4"/>
        <v>212.45000000000002</v>
      </c>
      <c r="H313" s="120">
        <v>43543</v>
      </c>
      <c r="I313" s="50">
        <v>0.7631944444444444</v>
      </c>
      <c r="J313" s="46" t="s">
        <v>23</v>
      </c>
      <c r="K313" s="51">
        <v>8</v>
      </c>
      <c r="L313" s="122" t="str">
        <f>IF(AND(Tabla_Ventas[[#This Row],[VENTA TOTAL]]&gt;=30,Tabla_Ventas[[#This Row],[TIPO DE CLIENTE/ Customer type]]="Member"),"PARTICIPA","NO PARTICIPA")</f>
        <v>NO PARTICIPA</v>
      </c>
    </row>
    <row r="314" spans="1:12" ht="19" x14ac:dyDescent="0.25">
      <c r="A314" s="45">
        <v>239107476</v>
      </c>
      <c r="B314" s="46" t="s">
        <v>19</v>
      </c>
      <c r="C314" s="46" t="s">
        <v>18</v>
      </c>
      <c r="D314" s="46" t="s">
        <v>25</v>
      </c>
      <c r="E314" s="47">
        <v>77.95</v>
      </c>
      <c r="F314" s="48">
        <v>6</v>
      </c>
      <c r="G314" s="78">
        <f t="shared" si="4"/>
        <v>467.70000000000005</v>
      </c>
      <c r="H314" s="120">
        <v>43486</v>
      </c>
      <c r="I314" s="50">
        <v>0.69236111111111109</v>
      </c>
      <c r="J314" s="46" t="s">
        <v>17</v>
      </c>
      <c r="K314" s="51">
        <v>8</v>
      </c>
      <c r="L314" s="122" t="str">
        <f>IF(AND(Tabla_Ventas[[#This Row],[VENTA TOTAL]]&gt;=30,Tabla_Ventas[[#This Row],[TIPO DE CLIENTE/ Customer type]]="Member"),"PARTICIPA","NO PARTICIPA")</f>
        <v>NO PARTICIPA</v>
      </c>
    </row>
    <row r="315" spans="1:12" ht="19" x14ac:dyDescent="0.25">
      <c r="A315" s="45">
        <v>851286367</v>
      </c>
      <c r="B315" s="46" t="s">
        <v>19</v>
      </c>
      <c r="C315" s="46" t="s">
        <v>13</v>
      </c>
      <c r="D315" s="46" t="s">
        <v>14</v>
      </c>
      <c r="E315" s="47">
        <v>15.5</v>
      </c>
      <c r="F315" s="48">
        <v>10</v>
      </c>
      <c r="G315" s="78">
        <f t="shared" si="4"/>
        <v>155</v>
      </c>
      <c r="H315" s="120">
        <v>43547</v>
      </c>
      <c r="I315" s="50">
        <v>0.4548611111111111</v>
      </c>
      <c r="J315" s="46" t="s">
        <v>17</v>
      </c>
      <c r="K315" s="51">
        <v>8</v>
      </c>
      <c r="L315" s="122" t="str">
        <f>IF(AND(Tabla_Ventas[[#This Row],[VENTA TOTAL]]&gt;=30,Tabla_Ventas[[#This Row],[TIPO DE CLIENTE/ Customer type]]="Member"),"PARTICIPA","NO PARTICIPA")</f>
        <v>PARTICIPA</v>
      </c>
    </row>
    <row r="316" spans="1:12" ht="19" x14ac:dyDescent="0.25">
      <c r="A316" s="45">
        <v>895660685</v>
      </c>
      <c r="B316" s="46" t="s">
        <v>16</v>
      </c>
      <c r="C316" s="46" t="s">
        <v>13</v>
      </c>
      <c r="D316" s="46" t="s">
        <v>24</v>
      </c>
      <c r="E316" s="47">
        <v>18.079999999999998</v>
      </c>
      <c r="F316" s="48">
        <v>3</v>
      </c>
      <c r="G316" s="78">
        <f t="shared" si="4"/>
        <v>54.239999999999995</v>
      </c>
      <c r="H316" s="120">
        <v>43529</v>
      </c>
      <c r="I316" s="50">
        <v>0.82361111111111107</v>
      </c>
      <c r="J316" s="46" t="s">
        <v>17</v>
      </c>
      <c r="K316" s="51">
        <v>8</v>
      </c>
      <c r="L316" s="122" t="str">
        <f>IF(AND(Tabla_Ventas[[#This Row],[VENTA TOTAL]]&gt;=30,Tabla_Ventas[[#This Row],[TIPO DE CLIENTE/ Customer type]]="Member"),"PARTICIPA","NO PARTICIPA")</f>
        <v>PARTICIPA</v>
      </c>
    </row>
    <row r="317" spans="1:12" ht="19" x14ac:dyDescent="0.25">
      <c r="A317" s="45">
        <v>418025978</v>
      </c>
      <c r="B317" s="46" t="s">
        <v>16</v>
      </c>
      <c r="C317" s="46" t="s">
        <v>18</v>
      </c>
      <c r="D317" s="46" t="s">
        <v>20</v>
      </c>
      <c r="E317" s="47">
        <v>84.09</v>
      </c>
      <c r="F317" s="48">
        <v>9</v>
      </c>
      <c r="G317" s="78">
        <f t="shared" si="4"/>
        <v>756.81000000000006</v>
      </c>
      <c r="H317" s="120">
        <v>43771</v>
      </c>
      <c r="I317" s="50">
        <v>0.45416666666666666</v>
      </c>
      <c r="J317" s="46" t="s">
        <v>23</v>
      </c>
      <c r="K317" s="51">
        <v>8</v>
      </c>
      <c r="L317" s="122" t="str">
        <f>IF(AND(Tabla_Ventas[[#This Row],[VENTA TOTAL]]&gt;=30,Tabla_Ventas[[#This Row],[TIPO DE CLIENTE/ Customer type]]="Member"),"PARTICIPA","NO PARTICIPA")</f>
        <v>NO PARTICIPA</v>
      </c>
    </row>
    <row r="318" spans="1:12" ht="19" x14ac:dyDescent="0.25">
      <c r="A318" s="45">
        <v>471412823</v>
      </c>
      <c r="B318" s="46" t="s">
        <v>12</v>
      </c>
      <c r="C318" s="46" t="s">
        <v>18</v>
      </c>
      <c r="D318" s="46" t="s">
        <v>24</v>
      </c>
      <c r="E318" s="47">
        <v>99.79</v>
      </c>
      <c r="F318" s="48">
        <v>2</v>
      </c>
      <c r="G318" s="78">
        <f t="shared" si="4"/>
        <v>199.58</v>
      </c>
      <c r="H318" s="120">
        <v>43531</v>
      </c>
      <c r="I318" s="50">
        <v>0.85902777777777783</v>
      </c>
      <c r="J318" s="46" t="s">
        <v>17</v>
      </c>
      <c r="K318" s="51">
        <v>8</v>
      </c>
      <c r="L318" s="122" t="str">
        <f>IF(AND(Tabla_Ventas[[#This Row],[VENTA TOTAL]]&gt;=30,Tabla_Ventas[[#This Row],[TIPO DE CLIENTE/ Customer type]]="Member"),"PARTICIPA","NO PARTICIPA")</f>
        <v>NO PARTICIPA</v>
      </c>
    </row>
    <row r="319" spans="1:12" ht="19" x14ac:dyDescent="0.25">
      <c r="A319" s="45">
        <v>346123257</v>
      </c>
      <c r="B319" s="46" t="s">
        <v>16</v>
      </c>
      <c r="C319" s="46" t="s">
        <v>13</v>
      </c>
      <c r="D319" s="46" t="s">
        <v>21</v>
      </c>
      <c r="E319" s="47">
        <v>19.239999999999998</v>
      </c>
      <c r="F319" s="48">
        <v>9</v>
      </c>
      <c r="G319" s="78">
        <f t="shared" si="4"/>
        <v>173.16</v>
      </c>
      <c r="H319" s="120">
        <v>43558</v>
      </c>
      <c r="I319" s="50">
        <v>0.68611111111111101</v>
      </c>
      <c r="J319" s="46" t="s">
        <v>23</v>
      </c>
      <c r="K319" s="51">
        <v>8</v>
      </c>
      <c r="L319" s="122" t="str">
        <f>IF(AND(Tabla_Ventas[[#This Row],[VENTA TOTAL]]&gt;=30,Tabla_Ventas[[#This Row],[TIPO DE CLIENTE/ Customer type]]="Member"),"PARTICIPA","NO PARTICIPA")</f>
        <v>PARTICIPA</v>
      </c>
    </row>
    <row r="320" spans="1:12" ht="19" x14ac:dyDescent="0.25">
      <c r="A320" s="45">
        <v>882404577</v>
      </c>
      <c r="B320" s="46" t="s">
        <v>19</v>
      </c>
      <c r="C320" s="46" t="s">
        <v>13</v>
      </c>
      <c r="D320" s="46" t="s">
        <v>14</v>
      </c>
      <c r="E320" s="47">
        <v>67.260000000000005</v>
      </c>
      <c r="F320" s="48">
        <v>4</v>
      </c>
      <c r="G320" s="78">
        <f t="shared" si="4"/>
        <v>269.04000000000002</v>
      </c>
      <c r="H320" s="120">
        <v>43484</v>
      </c>
      <c r="I320" s="50">
        <v>0.64444444444444449</v>
      </c>
      <c r="J320" s="46" t="s">
        <v>15</v>
      </c>
      <c r="K320" s="51">
        <v>8</v>
      </c>
      <c r="L320" s="122" t="str">
        <f>IF(AND(Tabla_Ventas[[#This Row],[VENTA TOTAL]]&gt;=30,Tabla_Ventas[[#This Row],[TIPO DE CLIENTE/ Customer type]]="Member"),"PARTICIPA","NO PARTICIPA")</f>
        <v>PARTICIPA</v>
      </c>
    </row>
    <row r="321" spans="1:12" ht="19" x14ac:dyDescent="0.25">
      <c r="A321" s="45">
        <v>650986268</v>
      </c>
      <c r="B321" s="46" t="s">
        <v>16</v>
      </c>
      <c r="C321" s="46" t="s">
        <v>13</v>
      </c>
      <c r="D321" s="46" t="s">
        <v>24</v>
      </c>
      <c r="E321" s="47">
        <v>20.87</v>
      </c>
      <c r="F321" s="48">
        <v>3</v>
      </c>
      <c r="G321" s="78">
        <f t="shared" si="4"/>
        <v>62.61</v>
      </c>
      <c r="H321" s="120">
        <v>43544</v>
      </c>
      <c r="I321" s="50">
        <v>0.57847222222222217</v>
      </c>
      <c r="J321" s="46" t="s">
        <v>15</v>
      </c>
      <c r="K321" s="51">
        <v>8</v>
      </c>
      <c r="L321" s="122" t="str">
        <f>IF(AND(Tabla_Ventas[[#This Row],[VENTA TOTAL]]&gt;=30,Tabla_Ventas[[#This Row],[TIPO DE CLIENTE/ Customer type]]="Member"),"PARTICIPA","NO PARTICIPA")</f>
        <v>PARTICIPA</v>
      </c>
    </row>
    <row r="322" spans="1:12" ht="19" x14ac:dyDescent="0.25">
      <c r="A322" s="45">
        <v>534014457</v>
      </c>
      <c r="B322" s="46" t="s">
        <v>19</v>
      </c>
      <c r="C322" s="46" t="s">
        <v>18</v>
      </c>
      <c r="D322" s="46" t="s">
        <v>24</v>
      </c>
      <c r="E322" s="47">
        <v>81.709999999999994</v>
      </c>
      <c r="F322" s="48">
        <v>6</v>
      </c>
      <c r="G322" s="78">
        <f t="shared" si="4"/>
        <v>490.26</v>
      </c>
      <c r="H322" s="120">
        <v>43492</v>
      </c>
      <c r="I322" s="50">
        <v>0.60833333333333328</v>
      </c>
      <c r="J322" s="46" t="s">
        <v>15</v>
      </c>
      <c r="K322" s="51">
        <v>8</v>
      </c>
      <c r="L322" s="122" t="str">
        <f>IF(AND(Tabla_Ventas[[#This Row],[VENTA TOTAL]]&gt;=30,Tabla_Ventas[[#This Row],[TIPO DE CLIENTE/ Customer type]]="Member"),"PARTICIPA","NO PARTICIPA")</f>
        <v>NO PARTICIPA</v>
      </c>
    </row>
    <row r="323" spans="1:12" ht="19" x14ac:dyDescent="0.25">
      <c r="A323" s="45">
        <v>339187061</v>
      </c>
      <c r="B323" s="46" t="s">
        <v>12</v>
      </c>
      <c r="C323" s="46" t="s">
        <v>13</v>
      </c>
      <c r="D323" s="46" t="s">
        <v>22</v>
      </c>
      <c r="E323" s="47">
        <v>92.98</v>
      </c>
      <c r="F323" s="48">
        <v>2</v>
      </c>
      <c r="G323" s="78">
        <f t="shared" si="4"/>
        <v>185.96</v>
      </c>
      <c r="H323" s="120">
        <v>43509</v>
      </c>
      <c r="I323" s="50">
        <v>0.62916666666666665</v>
      </c>
      <c r="J323" s="46" t="s">
        <v>15</v>
      </c>
      <c r="K323" s="51">
        <v>8</v>
      </c>
      <c r="L323" s="122" t="str">
        <f>IF(AND(Tabla_Ventas[[#This Row],[VENTA TOTAL]]&gt;=30,Tabla_Ventas[[#This Row],[TIPO DE CLIENTE/ Customer type]]="Member"),"PARTICIPA","NO PARTICIPA")</f>
        <v>PARTICIPA</v>
      </c>
    </row>
    <row r="324" spans="1:12" ht="19" x14ac:dyDescent="0.25">
      <c r="A324" s="45">
        <v>250817186</v>
      </c>
      <c r="B324" s="46" t="s">
        <v>16</v>
      </c>
      <c r="C324" s="46" t="s">
        <v>18</v>
      </c>
      <c r="D324" s="46" t="s">
        <v>21</v>
      </c>
      <c r="E324" s="49">
        <v>99.69</v>
      </c>
      <c r="F324" s="48">
        <v>1</v>
      </c>
      <c r="G324" s="78">
        <f t="shared" ref="G324:G387" si="5">F324*E324</f>
        <v>99.69</v>
      </c>
      <c r="H324" s="120">
        <v>43523</v>
      </c>
      <c r="I324" s="50">
        <v>0.43263888888888885</v>
      </c>
      <c r="J324" s="46" t="s">
        <v>15</v>
      </c>
      <c r="K324" s="51">
        <v>8</v>
      </c>
      <c r="L324" s="122" t="str">
        <f>IF(AND(Tabla_Ventas[[#This Row],[VENTA TOTAL]]&gt;=30,Tabla_Ventas[[#This Row],[TIPO DE CLIENTE/ Customer type]]="Member"),"PARTICIPA","NO PARTICIPA")</f>
        <v>NO PARTICIPA</v>
      </c>
    </row>
    <row r="325" spans="1:12" ht="19" x14ac:dyDescent="0.25">
      <c r="A325" s="45">
        <v>767974650</v>
      </c>
      <c r="B325" s="46" t="s">
        <v>12</v>
      </c>
      <c r="C325" s="46" t="s">
        <v>13</v>
      </c>
      <c r="D325" s="46" t="s">
        <v>14</v>
      </c>
      <c r="E325" s="49">
        <v>64.83</v>
      </c>
      <c r="F325" s="48">
        <v>2</v>
      </c>
      <c r="G325" s="78">
        <f t="shared" si="5"/>
        <v>129.66</v>
      </c>
      <c r="H325" s="120">
        <v>43473</v>
      </c>
      <c r="I325" s="50">
        <v>0.4993055555555555</v>
      </c>
      <c r="J325" s="46" t="s">
        <v>15</v>
      </c>
      <c r="K325" s="51">
        <v>8</v>
      </c>
      <c r="L325" s="122" t="str">
        <f>IF(AND(Tabla_Ventas[[#This Row],[VENTA TOTAL]]&gt;=30,Tabla_Ventas[[#This Row],[TIPO DE CLIENTE/ Customer type]]="Member"),"PARTICIPA","NO PARTICIPA")</f>
        <v>PARTICIPA</v>
      </c>
    </row>
    <row r="326" spans="1:12" ht="19" x14ac:dyDescent="0.25">
      <c r="A326" s="45">
        <v>751419720</v>
      </c>
      <c r="B326" s="46" t="s">
        <v>16</v>
      </c>
      <c r="C326" s="46" t="s">
        <v>18</v>
      </c>
      <c r="D326" s="46" t="s">
        <v>25</v>
      </c>
      <c r="E326" s="49">
        <v>97.5</v>
      </c>
      <c r="F326" s="48">
        <v>10</v>
      </c>
      <c r="G326" s="78">
        <f t="shared" si="5"/>
        <v>975</v>
      </c>
      <c r="H326" s="120">
        <v>43477</v>
      </c>
      <c r="I326" s="50">
        <v>0.6791666666666667</v>
      </c>
      <c r="J326" s="46" t="s">
        <v>17</v>
      </c>
      <c r="K326" s="51">
        <v>8</v>
      </c>
      <c r="L326" s="122" t="str">
        <f>IF(AND(Tabla_Ventas[[#This Row],[VENTA TOTAL]]&gt;=30,Tabla_Ventas[[#This Row],[TIPO DE CLIENTE/ Customer type]]="Member"),"PARTICIPA","NO PARTICIPA")</f>
        <v>NO PARTICIPA</v>
      </c>
    </row>
    <row r="327" spans="1:12" ht="19" x14ac:dyDescent="0.25">
      <c r="A327" s="45">
        <v>487796868</v>
      </c>
      <c r="B327" s="46" t="s">
        <v>12</v>
      </c>
      <c r="C327" s="46" t="s">
        <v>13</v>
      </c>
      <c r="D327" s="46" t="s">
        <v>25</v>
      </c>
      <c r="E327" s="49">
        <v>12.29</v>
      </c>
      <c r="F327" s="48">
        <v>9</v>
      </c>
      <c r="G327" s="78">
        <f t="shared" si="5"/>
        <v>110.60999999999999</v>
      </c>
      <c r="H327" s="120">
        <v>43550</v>
      </c>
      <c r="I327" s="50">
        <v>0.81111111111111101</v>
      </c>
      <c r="J327" s="46" t="s">
        <v>15</v>
      </c>
      <c r="K327" s="51">
        <v>8</v>
      </c>
      <c r="L327" s="122" t="str">
        <f>IF(AND(Tabla_Ventas[[#This Row],[VENTA TOTAL]]&gt;=30,Tabla_Ventas[[#This Row],[TIPO DE CLIENTE/ Customer type]]="Member"),"PARTICIPA","NO PARTICIPA")</f>
        <v>PARTICIPA</v>
      </c>
    </row>
    <row r="328" spans="1:12" ht="19" x14ac:dyDescent="0.25">
      <c r="A328" s="45">
        <v>156953964</v>
      </c>
      <c r="B328" s="46" t="s">
        <v>19</v>
      </c>
      <c r="C328" s="46" t="s">
        <v>18</v>
      </c>
      <c r="D328" s="46" t="s">
        <v>24</v>
      </c>
      <c r="E328" s="49">
        <v>55.39</v>
      </c>
      <c r="F328" s="48">
        <v>4</v>
      </c>
      <c r="G328" s="78">
        <f t="shared" si="5"/>
        <v>221.56</v>
      </c>
      <c r="H328" s="120">
        <v>43549</v>
      </c>
      <c r="I328" s="50">
        <v>0.6381944444444444</v>
      </c>
      <c r="J328" s="46" t="s">
        <v>17</v>
      </c>
      <c r="K328" s="51">
        <v>8</v>
      </c>
      <c r="L328" s="122" t="str">
        <f>IF(AND(Tabla_Ventas[[#This Row],[VENTA TOTAL]]&gt;=30,Tabla_Ventas[[#This Row],[TIPO DE CLIENTE/ Customer type]]="Member"),"PARTICIPA","NO PARTICIPA")</f>
        <v>NO PARTICIPA</v>
      </c>
    </row>
    <row r="329" spans="1:12" ht="19" x14ac:dyDescent="0.25">
      <c r="A329" s="45">
        <v>759984285</v>
      </c>
      <c r="B329" s="46" t="s">
        <v>16</v>
      </c>
      <c r="C329" s="46" t="s">
        <v>13</v>
      </c>
      <c r="D329" s="46" t="s">
        <v>20</v>
      </c>
      <c r="E329" s="49">
        <v>85.87</v>
      </c>
      <c r="F329" s="48">
        <v>7</v>
      </c>
      <c r="G329" s="78">
        <f t="shared" si="5"/>
        <v>601.09</v>
      </c>
      <c r="H329" s="120">
        <v>43523</v>
      </c>
      <c r="I329" s="50">
        <v>0.79236111111111107</v>
      </c>
      <c r="J329" s="46" t="s">
        <v>15</v>
      </c>
      <c r="K329" s="51">
        <v>8</v>
      </c>
      <c r="L329" s="122" t="str">
        <f>IF(AND(Tabla_Ventas[[#This Row],[VENTA TOTAL]]&gt;=30,Tabla_Ventas[[#This Row],[TIPO DE CLIENTE/ Customer type]]="Member"),"PARTICIPA","NO PARTICIPA")</f>
        <v>PARTICIPA</v>
      </c>
    </row>
    <row r="330" spans="1:12" ht="19" x14ac:dyDescent="0.25">
      <c r="A330" s="45">
        <v>120542248</v>
      </c>
      <c r="B330" s="46" t="s">
        <v>12</v>
      </c>
      <c r="C330" s="46" t="s">
        <v>18</v>
      </c>
      <c r="D330" s="46" t="s">
        <v>24</v>
      </c>
      <c r="E330" s="49">
        <v>28.86</v>
      </c>
      <c r="F330" s="48">
        <v>5</v>
      </c>
      <c r="G330" s="78">
        <f t="shared" si="5"/>
        <v>144.30000000000001</v>
      </c>
      <c r="H330" s="120">
        <v>43487</v>
      </c>
      <c r="I330" s="50">
        <v>0.75555555555555554</v>
      </c>
      <c r="J330" s="46" t="s">
        <v>15</v>
      </c>
      <c r="K330" s="51">
        <v>8</v>
      </c>
      <c r="L330" s="122" t="str">
        <f>IF(AND(Tabla_Ventas[[#This Row],[VENTA TOTAL]]&gt;=30,Tabla_Ventas[[#This Row],[TIPO DE CLIENTE/ Customer type]]="Member"),"PARTICIPA","NO PARTICIPA")</f>
        <v>NO PARTICIPA</v>
      </c>
    </row>
    <row r="331" spans="1:12" ht="19" x14ac:dyDescent="0.25">
      <c r="A331" s="45">
        <v>759299521</v>
      </c>
      <c r="B331" s="46" t="s">
        <v>19</v>
      </c>
      <c r="C331" s="46" t="s">
        <v>13</v>
      </c>
      <c r="D331" s="46" t="s">
        <v>22</v>
      </c>
      <c r="E331" s="49">
        <v>48.96</v>
      </c>
      <c r="F331" s="48">
        <v>9</v>
      </c>
      <c r="G331" s="78">
        <f t="shared" si="5"/>
        <v>440.64</v>
      </c>
      <c r="H331" s="120">
        <v>43528</v>
      </c>
      <c r="I331" s="50">
        <v>0.4770833333333333</v>
      </c>
      <c r="J331" s="46" t="s">
        <v>23</v>
      </c>
      <c r="K331" s="51">
        <v>8</v>
      </c>
      <c r="L331" s="122" t="str">
        <f>IF(AND(Tabla_Ventas[[#This Row],[VENTA TOTAL]]&gt;=30,Tabla_Ventas[[#This Row],[TIPO DE CLIENTE/ Customer type]]="Member"),"PARTICIPA","NO PARTICIPA")</f>
        <v>PARTICIPA</v>
      </c>
    </row>
    <row r="332" spans="1:12" ht="19" x14ac:dyDescent="0.25">
      <c r="A332" s="45">
        <v>831816575</v>
      </c>
      <c r="B332" s="46" t="s">
        <v>12</v>
      </c>
      <c r="C332" s="46" t="s">
        <v>13</v>
      </c>
      <c r="D332" s="46" t="s">
        <v>21</v>
      </c>
      <c r="E332" s="49">
        <v>75.59</v>
      </c>
      <c r="F332" s="48">
        <v>9</v>
      </c>
      <c r="G332" s="78">
        <f t="shared" si="5"/>
        <v>680.31000000000006</v>
      </c>
      <c r="H332" s="120">
        <v>43519</v>
      </c>
      <c r="I332" s="50">
        <v>0.46666666666666662</v>
      </c>
      <c r="J332" s="46" t="s">
        <v>23</v>
      </c>
      <c r="K332" s="51">
        <v>8</v>
      </c>
      <c r="L332" s="122" t="str">
        <f>IF(AND(Tabla_Ventas[[#This Row],[VENTA TOTAL]]&gt;=30,Tabla_Ventas[[#This Row],[TIPO DE CLIENTE/ Customer type]]="Member"),"PARTICIPA","NO PARTICIPA")</f>
        <v>PARTICIPA</v>
      </c>
    </row>
    <row r="333" spans="1:12" ht="19" x14ac:dyDescent="0.25">
      <c r="A333" s="45">
        <v>280355823</v>
      </c>
      <c r="B333" s="46" t="s">
        <v>16</v>
      </c>
      <c r="C333" s="46" t="s">
        <v>13</v>
      </c>
      <c r="D333" s="46" t="s">
        <v>25</v>
      </c>
      <c r="E333" s="47">
        <v>86.72</v>
      </c>
      <c r="F333" s="48">
        <v>1</v>
      </c>
      <c r="G333" s="78">
        <f t="shared" si="5"/>
        <v>86.72</v>
      </c>
      <c r="H333" s="120">
        <v>43482</v>
      </c>
      <c r="I333" s="50">
        <v>0.78125</v>
      </c>
      <c r="J333" s="46" t="s">
        <v>17</v>
      </c>
      <c r="K333" s="51">
        <v>7.9</v>
      </c>
      <c r="L333" s="122" t="str">
        <f>IF(AND(Tabla_Ventas[[#This Row],[VENTA TOTAL]]&gt;=30,Tabla_Ventas[[#This Row],[TIPO DE CLIENTE/ Customer type]]="Member"),"PARTICIPA","NO PARTICIPA")</f>
        <v>PARTICIPA</v>
      </c>
    </row>
    <row r="334" spans="1:12" ht="19" x14ac:dyDescent="0.25">
      <c r="A334" s="45">
        <v>574225561</v>
      </c>
      <c r="B334" s="46" t="s">
        <v>12</v>
      </c>
      <c r="C334" s="46" t="s">
        <v>13</v>
      </c>
      <c r="D334" s="46" t="s">
        <v>22</v>
      </c>
      <c r="E334" s="47">
        <v>82.63</v>
      </c>
      <c r="F334" s="48">
        <v>10</v>
      </c>
      <c r="G334" s="78">
        <f t="shared" si="5"/>
        <v>826.3</v>
      </c>
      <c r="H334" s="120">
        <v>43543</v>
      </c>
      <c r="I334" s="50">
        <v>0.71388888888888891</v>
      </c>
      <c r="J334" s="46" t="s">
        <v>17</v>
      </c>
      <c r="K334" s="51">
        <v>7.9</v>
      </c>
      <c r="L334" s="122" t="str">
        <f>IF(AND(Tabla_Ventas[[#This Row],[VENTA TOTAL]]&gt;=30,Tabla_Ventas[[#This Row],[TIPO DE CLIENTE/ Customer type]]="Member"),"PARTICIPA","NO PARTICIPA")</f>
        <v>PARTICIPA</v>
      </c>
    </row>
    <row r="335" spans="1:12" ht="19" x14ac:dyDescent="0.25">
      <c r="A335" s="45">
        <v>628343388</v>
      </c>
      <c r="B335" s="46" t="s">
        <v>12</v>
      </c>
      <c r="C335" s="46" t="s">
        <v>18</v>
      </c>
      <c r="D335" s="46" t="s">
        <v>22</v>
      </c>
      <c r="E335" s="47">
        <v>27.38</v>
      </c>
      <c r="F335" s="48">
        <v>6</v>
      </c>
      <c r="G335" s="78">
        <f t="shared" si="5"/>
        <v>164.28</v>
      </c>
      <c r="H335" s="120">
        <v>43586</v>
      </c>
      <c r="I335" s="50">
        <v>0.87083333333333324</v>
      </c>
      <c r="J335" s="46" t="s">
        <v>15</v>
      </c>
      <c r="K335" s="51">
        <v>7.9</v>
      </c>
      <c r="L335" s="122" t="str">
        <f>IF(AND(Tabla_Ventas[[#This Row],[VENTA TOTAL]]&gt;=30,Tabla_Ventas[[#This Row],[TIPO DE CLIENTE/ Customer type]]="Member"),"PARTICIPA","NO PARTICIPA")</f>
        <v>NO PARTICIPA</v>
      </c>
    </row>
    <row r="336" spans="1:12" ht="19" x14ac:dyDescent="0.25">
      <c r="A336" s="45">
        <v>749241565</v>
      </c>
      <c r="B336" s="46" t="s">
        <v>19</v>
      </c>
      <c r="C336" s="46" t="s">
        <v>18</v>
      </c>
      <c r="D336" s="46" t="s">
        <v>20</v>
      </c>
      <c r="E336" s="47">
        <v>23.03</v>
      </c>
      <c r="F336" s="48">
        <v>9</v>
      </c>
      <c r="G336" s="78">
        <f t="shared" si="5"/>
        <v>207.27</v>
      </c>
      <c r="H336" s="120">
        <v>43468</v>
      </c>
      <c r="I336" s="50">
        <v>0.50138888888888888</v>
      </c>
      <c r="J336" s="46" t="s">
        <v>17</v>
      </c>
      <c r="K336" s="51">
        <v>7.9</v>
      </c>
      <c r="L336" s="122" t="str">
        <f>IF(AND(Tabla_Ventas[[#This Row],[VENTA TOTAL]]&gt;=30,Tabla_Ventas[[#This Row],[TIPO DE CLIENTE/ Customer type]]="Member"),"PARTICIPA","NO PARTICIPA")</f>
        <v>NO PARTICIPA</v>
      </c>
    </row>
    <row r="337" spans="1:12" ht="19" x14ac:dyDescent="0.25">
      <c r="A337" s="45">
        <v>790291172</v>
      </c>
      <c r="B337" s="46" t="s">
        <v>16</v>
      </c>
      <c r="C337" s="46" t="s">
        <v>18</v>
      </c>
      <c r="D337" s="46" t="s">
        <v>24</v>
      </c>
      <c r="E337" s="47">
        <v>57.34</v>
      </c>
      <c r="F337" s="48">
        <v>3</v>
      </c>
      <c r="G337" s="78">
        <f t="shared" si="5"/>
        <v>172.02</v>
      </c>
      <c r="H337" s="120">
        <v>43534</v>
      </c>
      <c r="I337" s="50">
        <v>0.7909722222222223</v>
      </c>
      <c r="J337" s="46" t="s">
        <v>15</v>
      </c>
      <c r="K337" s="51">
        <v>7.9</v>
      </c>
      <c r="L337" s="122" t="str">
        <f>IF(AND(Tabla_Ventas[[#This Row],[VENTA TOTAL]]&gt;=30,Tabla_Ventas[[#This Row],[TIPO DE CLIENTE/ Customer type]]="Member"),"PARTICIPA","NO PARTICIPA")</f>
        <v>NO PARTICIPA</v>
      </c>
    </row>
    <row r="338" spans="1:12" ht="19" x14ac:dyDescent="0.25">
      <c r="A338" s="45">
        <v>154747179</v>
      </c>
      <c r="B338" s="46" t="s">
        <v>16</v>
      </c>
      <c r="C338" s="46" t="s">
        <v>18</v>
      </c>
      <c r="D338" s="46" t="s">
        <v>14</v>
      </c>
      <c r="E338" s="47">
        <v>54.45</v>
      </c>
      <c r="F338" s="48">
        <v>1</v>
      </c>
      <c r="G338" s="78">
        <f t="shared" si="5"/>
        <v>54.45</v>
      </c>
      <c r="H338" s="120">
        <v>43522</v>
      </c>
      <c r="I338" s="50">
        <v>0.80833333333333324</v>
      </c>
      <c r="J338" s="46" t="s">
        <v>17</v>
      </c>
      <c r="K338" s="51">
        <v>7.9</v>
      </c>
      <c r="L338" s="122" t="str">
        <f>IF(AND(Tabla_Ventas[[#This Row],[VENTA TOTAL]]&gt;=30,Tabla_Ventas[[#This Row],[TIPO DE CLIENTE/ Customer type]]="Member"),"PARTICIPA","NO PARTICIPA")</f>
        <v>NO PARTICIPA</v>
      </c>
    </row>
    <row r="339" spans="1:12" ht="19" x14ac:dyDescent="0.25">
      <c r="A339" s="45">
        <v>477246490</v>
      </c>
      <c r="B339" s="46" t="s">
        <v>16</v>
      </c>
      <c r="C339" s="46" t="s">
        <v>18</v>
      </c>
      <c r="D339" s="46" t="s">
        <v>20</v>
      </c>
      <c r="E339" s="47">
        <v>99.71</v>
      </c>
      <c r="F339" s="48">
        <v>6</v>
      </c>
      <c r="G339" s="78">
        <f t="shared" si="5"/>
        <v>598.26</v>
      </c>
      <c r="H339" s="120">
        <v>43522</v>
      </c>
      <c r="I339" s="50">
        <v>0.70277777777777783</v>
      </c>
      <c r="J339" s="46" t="s">
        <v>17</v>
      </c>
      <c r="K339" s="51">
        <v>7.9</v>
      </c>
      <c r="L339" s="122" t="str">
        <f>IF(AND(Tabla_Ventas[[#This Row],[VENTA TOTAL]]&gt;=30,Tabla_Ventas[[#This Row],[TIPO DE CLIENTE/ Customer type]]="Member"),"PARTICIPA","NO PARTICIPA")</f>
        <v>NO PARTICIPA</v>
      </c>
    </row>
    <row r="340" spans="1:12" ht="19" x14ac:dyDescent="0.25">
      <c r="A340" s="45">
        <v>523380215</v>
      </c>
      <c r="B340" s="46" t="s">
        <v>12</v>
      </c>
      <c r="C340" s="46" t="s">
        <v>18</v>
      </c>
      <c r="D340" s="46" t="s">
        <v>25</v>
      </c>
      <c r="E340" s="47">
        <v>37</v>
      </c>
      <c r="F340" s="48">
        <v>1</v>
      </c>
      <c r="G340" s="78">
        <f t="shared" si="5"/>
        <v>37</v>
      </c>
      <c r="H340" s="120">
        <v>43530</v>
      </c>
      <c r="I340" s="50">
        <v>0.56180555555555556</v>
      </c>
      <c r="J340" s="46" t="s">
        <v>15</v>
      </c>
      <c r="K340" s="51">
        <v>7.9</v>
      </c>
      <c r="L340" s="122" t="str">
        <f>IF(AND(Tabla_Ventas[[#This Row],[VENTA TOTAL]]&gt;=30,Tabla_Ventas[[#This Row],[TIPO DE CLIENTE/ Customer type]]="Member"),"PARTICIPA","NO PARTICIPA")</f>
        <v>NO PARTICIPA</v>
      </c>
    </row>
    <row r="341" spans="1:12" ht="19" x14ac:dyDescent="0.25">
      <c r="A341" s="45">
        <v>442483607</v>
      </c>
      <c r="B341" s="46" t="s">
        <v>19</v>
      </c>
      <c r="C341" s="46" t="s">
        <v>13</v>
      </c>
      <c r="D341" s="46" t="s">
        <v>24</v>
      </c>
      <c r="E341" s="47">
        <v>23.48</v>
      </c>
      <c r="F341" s="48">
        <v>2</v>
      </c>
      <c r="G341" s="78">
        <f t="shared" si="5"/>
        <v>46.96</v>
      </c>
      <c r="H341" s="120">
        <v>43538</v>
      </c>
      <c r="I341" s="50">
        <v>0.47291666666666665</v>
      </c>
      <c r="J341" s="46" t="s">
        <v>15</v>
      </c>
      <c r="K341" s="51">
        <v>7.9</v>
      </c>
      <c r="L341" s="122" t="str">
        <f>IF(AND(Tabla_Ventas[[#This Row],[VENTA TOTAL]]&gt;=30,Tabla_Ventas[[#This Row],[TIPO DE CLIENTE/ Customer type]]="Member"),"PARTICIPA","NO PARTICIPA")</f>
        <v>PARTICIPA</v>
      </c>
    </row>
    <row r="342" spans="1:12" ht="19" x14ac:dyDescent="0.25">
      <c r="A342" s="45">
        <v>729467422</v>
      </c>
      <c r="B342" s="46" t="s">
        <v>12</v>
      </c>
      <c r="C342" s="46" t="s">
        <v>18</v>
      </c>
      <c r="D342" s="46" t="s">
        <v>24</v>
      </c>
      <c r="E342" s="47">
        <v>35.89</v>
      </c>
      <c r="F342" s="48">
        <v>1</v>
      </c>
      <c r="G342" s="78">
        <f t="shared" si="5"/>
        <v>35.89</v>
      </c>
      <c r="H342" s="120">
        <v>43519</v>
      </c>
      <c r="I342" s="50">
        <v>0.70277777777777783</v>
      </c>
      <c r="J342" s="46" t="s">
        <v>15</v>
      </c>
      <c r="K342" s="51">
        <v>7.9</v>
      </c>
      <c r="L342" s="122" t="str">
        <f>IF(AND(Tabla_Ventas[[#This Row],[VENTA TOTAL]]&gt;=30,Tabla_Ventas[[#This Row],[TIPO DE CLIENTE/ Customer type]]="Member"),"PARTICIPA","NO PARTICIPA")</f>
        <v>NO PARTICIPA</v>
      </c>
    </row>
    <row r="343" spans="1:12" ht="19" x14ac:dyDescent="0.25">
      <c r="A343" s="45">
        <v>562125430</v>
      </c>
      <c r="B343" s="46" t="s">
        <v>19</v>
      </c>
      <c r="C343" s="46" t="s">
        <v>13</v>
      </c>
      <c r="D343" s="46" t="s">
        <v>22</v>
      </c>
      <c r="E343" s="49">
        <v>88.15</v>
      </c>
      <c r="F343" s="48">
        <v>3</v>
      </c>
      <c r="G343" s="78">
        <f t="shared" si="5"/>
        <v>264.45000000000005</v>
      </c>
      <c r="H343" s="120">
        <v>43483</v>
      </c>
      <c r="I343" s="50">
        <v>0.42430555555555555</v>
      </c>
      <c r="J343" s="46" t="s">
        <v>17</v>
      </c>
      <c r="K343" s="51">
        <v>7.9</v>
      </c>
      <c r="L343" s="122" t="str">
        <f>IF(AND(Tabla_Ventas[[#This Row],[VENTA TOTAL]]&gt;=30,Tabla_Ventas[[#This Row],[TIPO DE CLIENTE/ Customer type]]="Member"),"PARTICIPA","NO PARTICIPA")</f>
        <v>PARTICIPA</v>
      </c>
    </row>
    <row r="344" spans="1:12" ht="19" x14ac:dyDescent="0.25">
      <c r="A344" s="45">
        <v>842294695</v>
      </c>
      <c r="B344" s="46" t="s">
        <v>16</v>
      </c>
      <c r="C344" s="46" t="s">
        <v>13</v>
      </c>
      <c r="D344" s="46" t="s">
        <v>14</v>
      </c>
      <c r="E344" s="49">
        <v>17.14</v>
      </c>
      <c r="F344" s="48">
        <v>7</v>
      </c>
      <c r="G344" s="78">
        <f t="shared" si="5"/>
        <v>119.98</v>
      </c>
      <c r="H344" s="120">
        <v>43481</v>
      </c>
      <c r="I344" s="50">
        <v>0.50486111111111109</v>
      </c>
      <c r="J344" s="46" t="s">
        <v>15</v>
      </c>
      <c r="K344" s="51">
        <v>7.9</v>
      </c>
      <c r="L344" s="122" t="str">
        <f>IF(AND(Tabla_Ventas[[#This Row],[VENTA TOTAL]]&gt;=30,Tabla_Ventas[[#This Row],[TIPO DE CLIENTE/ Customer type]]="Member"),"PARTICIPA","NO PARTICIPA")</f>
        <v>PARTICIPA</v>
      </c>
    </row>
    <row r="345" spans="1:12" ht="19" x14ac:dyDescent="0.25">
      <c r="A345" s="45">
        <v>776681096</v>
      </c>
      <c r="B345" s="46" t="s">
        <v>12</v>
      </c>
      <c r="C345" s="46" t="s">
        <v>18</v>
      </c>
      <c r="D345" s="46" t="s">
        <v>25</v>
      </c>
      <c r="E345" s="49">
        <v>44.12</v>
      </c>
      <c r="F345" s="48">
        <v>3</v>
      </c>
      <c r="G345" s="78">
        <f t="shared" si="5"/>
        <v>132.35999999999999</v>
      </c>
      <c r="H345" s="120">
        <v>43542</v>
      </c>
      <c r="I345" s="50">
        <v>0.57291666666666663</v>
      </c>
      <c r="J345" s="46" t="s">
        <v>15</v>
      </c>
      <c r="K345" s="51">
        <v>7.9</v>
      </c>
      <c r="L345" s="122" t="str">
        <f>IF(AND(Tabla_Ventas[[#This Row],[VENTA TOTAL]]&gt;=30,Tabla_Ventas[[#This Row],[TIPO DE CLIENTE/ Customer type]]="Member"),"PARTICIPA","NO PARTICIPA")</f>
        <v>NO PARTICIPA</v>
      </c>
    </row>
    <row r="346" spans="1:12" ht="19" x14ac:dyDescent="0.25">
      <c r="A346" s="45">
        <v>711311234</v>
      </c>
      <c r="B346" s="46" t="s">
        <v>12</v>
      </c>
      <c r="C346" s="46" t="s">
        <v>18</v>
      </c>
      <c r="D346" s="46" t="s">
        <v>21</v>
      </c>
      <c r="E346" s="49">
        <v>95.64</v>
      </c>
      <c r="F346" s="48">
        <v>4</v>
      </c>
      <c r="G346" s="78">
        <f t="shared" si="5"/>
        <v>382.56</v>
      </c>
      <c r="H346" s="120">
        <v>43540</v>
      </c>
      <c r="I346" s="50">
        <v>0.78541666666666676</v>
      </c>
      <c r="J346" s="46" t="s">
        <v>23</v>
      </c>
      <c r="K346" s="51">
        <v>7.9</v>
      </c>
      <c r="L346" s="122" t="str">
        <f>IF(AND(Tabla_Ventas[[#This Row],[VENTA TOTAL]]&gt;=30,Tabla_Ventas[[#This Row],[TIPO DE CLIENTE/ Customer type]]="Member"),"PARTICIPA","NO PARTICIPA")</f>
        <v>NO PARTICIPA</v>
      </c>
    </row>
    <row r="347" spans="1:12" ht="19" x14ac:dyDescent="0.25">
      <c r="A347" s="45">
        <v>751156198</v>
      </c>
      <c r="B347" s="46" t="s">
        <v>12</v>
      </c>
      <c r="C347" s="46" t="s">
        <v>18</v>
      </c>
      <c r="D347" s="46" t="s">
        <v>14</v>
      </c>
      <c r="E347" s="49">
        <v>23.01</v>
      </c>
      <c r="F347" s="48">
        <v>6</v>
      </c>
      <c r="G347" s="78">
        <f t="shared" si="5"/>
        <v>138.06</v>
      </c>
      <c r="H347" s="120">
        <v>43477</v>
      </c>
      <c r="I347" s="50">
        <v>0.69791666666666663</v>
      </c>
      <c r="J347" s="46" t="s">
        <v>17</v>
      </c>
      <c r="K347" s="51">
        <v>7.9</v>
      </c>
      <c r="L347" s="122" t="str">
        <f>IF(AND(Tabla_Ventas[[#This Row],[VENTA TOTAL]]&gt;=30,Tabla_Ventas[[#This Row],[TIPO DE CLIENTE/ Customer type]]="Member"),"PARTICIPA","NO PARTICIPA")</f>
        <v>NO PARTICIPA</v>
      </c>
    </row>
    <row r="348" spans="1:12" ht="19" x14ac:dyDescent="0.25">
      <c r="A348" s="45">
        <v>497360989</v>
      </c>
      <c r="B348" s="46" t="s">
        <v>19</v>
      </c>
      <c r="C348" s="46" t="s">
        <v>18</v>
      </c>
      <c r="D348" s="46" t="s">
        <v>22</v>
      </c>
      <c r="E348" s="49">
        <v>51.94</v>
      </c>
      <c r="F348" s="48">
        <v>3</v>
      </c>
      <c r="G348" s="78">
        <f t="shared" si="5"/>
        <v>155.82</v>
      </c>
      <c r="H348" s="120">
        <v>43511</v>
      </c>
      <c r="I348" s="50">
        <v>0.63958333333333328</v>
      </c>
      <c r="J348" s="46" t="s">
        <v>23</v>
      </c>
      <c r="K348" s="51">
        <v>7.9</v>
      </c>
      <c r="L348" s="122" t="str">
        <f>IF(AND(Tabla_Ventas[[#This Row],[VENTA TOTAL]]&gt;=30,Tabla_Ventas[[#This Row],[TIPO DE CLIENTE/ Customer type]]="Member"),"PARTICIPA","NO PARTICIPA")</f>
        <v>NO PARTICIPA</v>
      </c>
    </row>
    <row r="349" spans="1:12" ht="19" x14ac:dyDescent="0.25">
      <c r="A349" s="45">
        <v>118621812</v>
      </c>
      <c r="B349" s="46" t="s">
        <v>16</v>
      </c>
      <c r="C349" s="46" t="s">
        <v>13</v>
      </c>
      <c r="D349" s="46" t="s">
        <v>25</v>
      </c>
      <c r="E349" s="49">
        <v>78.38</v>
      </c>
      <c r="F349" s="48">
        <v>4</v>
      </c>
      <c r="G349" s="78">
        <f t="shared" si="5"/>
        <v>313.52</v>
      </c>
      <c r="H349" s="120">
        <v>43548</v>
      </c>
      <c r="I349" s="50">
        <v>0.74722222222222223</v>
      </c>
      <c r="J349" s="46" t="s">
        <v>23</v>
      </c>
      <c r="K349" s="51">
        <v>7.9</v>
      </c>
      <c r="L349" s="122" t="str">
        <f>IF(AND(Tabla_Ventas[[#This Row],[VENTA TOTAL]]&gt;=30,Tabla_Ventas[[#This Row],[TIPO DE CLIENTE/ Customer type]]="Member"),"PARTICIPA","NO PARTICIPA")</f>
        <v>PARTICIPA</v>
      </c>
    </row>
    <row r="350" spans="1:12" ht="19" x14ac:dyDescent="0.25">
      <c r="A350" s="45">
        <v>373881424</v>
      </c>
      <c r="B350" s="46" t="s">
        <v>16</v>
      </c>
      <c r="C350" s="46" t="s">
        <v>13</v>
      </c>
      <c r="D350" s="46" t="s">
        <v>25</v>
      </c>
      <c r="E350" s="49">
        <v>35.81</v>
      </c>
      <c r="F350" s="48">
        <v>5</v>
      </c>
      <c r="G350" s="78">
        <f t="shared" si="5"/>
        <v>179.05</v>
      </c>
      <c r="H350" s="120">
        <v>43502</v>
      </c>
      <c r="I350" s="50">
        <v>0.78055555555555556</v>
      </c>
      <c r="J350" s="46" t="s">
        <v>17</v>
      </c>
      <c r="K350" s="51">
        <v>7.9</v>
      </c>
      <c r="L350" s="122" t="str">
        <f>IF(AND(Tabla_Ventas[[#This Row],[VENTA TOTAL]]&gt;=30,Tabla_Ventas[[#This Row],[TIPO DE CLIENTE/ Customer type]]="Member"),"PARTICIPA","NO PARTICIPA")</f>
        <v>PARTICIPA</v>
      </c>
    </row>
    <row r="351" spans="1:12" ht="19" x14ac:dyDescent="0.25">
      <c r="A351" s="45">
        <v>210675886</v>
      </c>
      <c r="B351" s="46" t="s">
        <v>12</v>
      </c>
      <c r="C351" s="46" t="s">
        <v>13</v>
      </c>
      <c r="D351" s="46" t="s">
        <v>20</v>
      </c>
      <c r="E351" s="47">
        <v>98.21</v>
      </c>
      <c r="F351" s="48">
        <v>3</v>
      </c>
      <c r="G351" s="78">
        <f t="shared" si="5"/>
        <v>294.63</v>
      </c>
      <c r="H351" s="120">
        <v>43587</v>
      </c>
      <c r="I351" s="50">
        <v>0.44513888888888892</v>
      </c>
      <c r="J351" s="46" t="s">
        <v>15</v>
      </c>
      <c r="K351" s="51">
        <v>7.8</v>
      </c>
      <c r="L351" s="122" t="str">
        <f>IF(AND(Tabla_Ventas[[#This Row],[VENTA TOTAL]]&gt;=30,Tabla_Ventas[[#This Row],[TIPO DE CLIENTE/ Customer type]]="Member"),"PARTICIPA","NO PARTICIPA")</f>
        <v>PARTICIPA</v>
      </c>
    </row>
    <row r="352" spans="1:12" ht="19" x14ac:dyDescent="0.25">
      <c r="A352" s="45">
        <v>263875680</v>
      </c>
      <c r="B352" s="46" t="s">
        <v>12</v>
      </c>
      <c r="C352" s="46" t="s">
        <v>13</v>
      </c>
      <c r="D352" s="46" t="s">
        <v>25</v>
      </c>
      <c r="E352" s="47">
        <v>28.53</v>
      </c>
      <c r="F352" s="48">
        <v>10</v>
      </c>
      <c r="G352" s="78">
        <f t="shared" si="5"/>
        <v>285.3</v>
      </c>
      <c r="H352" s="120">
        <v>43542</v>
      </c>
      <c r="I352" s="50">
        <v>0.73472222222222217</v>
      </c>
      <c r="J352" s="46" t="s">
        <v>17</v>
      </c>
      <c r="K352" s="51">
        <v>7.8</v>
      </c>
      <c r="L352" s="122" t="str">
        <f>IF(AND(Tabla_Ventas[[#This Row],[VENTA TOTAL]]&gt;=30,Tabla_Ventas[[#This Row],[TIPO DE CLIENTE/ Customer type]]="Member"),"PARTICIPA","NO PARTICIPA")</f>
        <v>PARTICIPA</v>
      </c>
    </row>
    <row r="353" spans="1:12" ht="19" x14ac:dyDescent="0.25">
      <c r="A353" s="45">
        <v>848422560</v>
      </c>
      <c r="B353" s="46" t="s">
        <v>19</v>
      </c>
      <c r="C353" s="46" t="s">
        <v>18</v>
      </c>
      <c r="D353" s="46" t="s">
        <v>22</v>
      </c>
      <c r="E353" s="47">
        <v>81.91</v>
      </c>
      <c r="F353" s="48">
        <v>2</v>
      </c>
      <c r="G353" s="78">
        <f t="shared" si="5"/>
        <v>163.82</v>
      </c>
      <c r="H353" s="120">
        <v>43529</v>
      </c>
      <c r="I353" s="50">
        <v>0.73819444444444438</v>
      </c>
      <c r="J353" s="46" t="s">
        <v>23</v>
      </c>
      <c r="K353" s="51">
        <v>7.8</v>
      </c>
      <c r="L353" s="122" t="str">
        <f>IF(AND(Tabla_Ventas[[#This Row],[VENTA TOTAL]]&gt;=30,Tabla_Ventas[[#This Row],[TIPO DE CLIENTE/ Customer type]]="Member"),"PARTICIPA","NO PARTICIPA")</f>
        <v>NO PARTICIPA</v>
      </c>
    </row>
    <row r="354" spans="1:12" ht="19" x14ac:dyDescent="0.25">
      <c r="A354" s="45">
        <v>378077001</v>
      </c>
      <c r="B354" s="46" t="s">
        <v>16</v>
      </c>
      <c r="C354" s="46" t="s">
        <v>13</v>
      </c>
      <c r="D354" s="46" t="s">
        <v>21</v>
      </c>
      <c r="E354" s="47">
        <v>48.09</v>
      </c>
      <c r="F354" s="48">
        <v>3</v>
      </c>
      <c r="G354" s="78">
        <f t="shared" si="5"/>
        <v>144.27000000000001</v>
      </c>
      <c r="H354" s="120">
        <v>43506</v>
      </c>
      <c r="I354" s="50">
        <v>0.76597222222222217</v>
      </c>
      <c r="J354" s="46" t="s">
        <v>15</v>
      </c>
      <c r="K354" s="51">
        <v>7.8</v>
      </c>
      <c r="L354" s="122" t="str">
        <f>IF(AND(Tabla_Ventas[[#This Row],[VENTA TOTAL]]&gt;=30,Tabla_Ventas[[#This Row],[TIPO DE CLIENTE/ Customer type]]="Member"),"PARTICIPA","NO PARTICIPA")</f>
        <v>PARTICIPA</v>
      </c>
    </row>
    <row r="355" spans="1:12" ht="19" x14ac:dyDescent="0.25">
      <c r="A355" s="45">
        <v>889049723</v>
      </c>
      <c r="B355" s="46" t="s">
        <v>16</v>
      </c>
      <c r="C355" s="46" t="s">
        <v>13</v>
      </c>
      <c r="D355" s="46" t="s">
        <v>24</v>
      </c>
      <c r="E355" s="47">
        <v>89.14</v>
      </c>
      <c r="F355" s="48">
        <v>4</v>
      </c>
      <c r="G355" s="78">
        <f t="shared" si="5"/>
        <v>356.56</v>
      </c>
      <c r="H355" s="120">
        <v>43472</v>
      </c>
      <c r="I355" s="50">
        <v>0.51388888888888895</v>
      </c>
      <c r="J355" s="46" t="s">
        <v>15</v>
      </c>
      <c r="K355" s="51">
        <v>7.8</v>
      </c>
      <c r="L355" s="122" t="str">
        <f>IF(AND(Tabla_Ventas[[#This Row],[VENTA TOTAL]]&gt;=30,Tabla_Ventas[[#This Row],[TIPO DE CLIENTE/ Customer type]]="Member"),"PARTICIPA","NO PARTICIPA")</f>
        <v>PARTICIPA</v>
      </c>
    </row>
    <row r="356" spans="1:12" ht="19" x14ac:dyDescent="0.25">
      <c r="A356" s="45">
        <v>254310042</v>
      </c>
      <c r="B356" s="46" t="s">
        <v>19</v>
      </c>
      <c r="C356" s="46" t="s">
        <v>13</v>
      </c>
      <c r="D356" s="46" t="s">
        <v>21</v>
      </c>
      <c r="E356" s="47">
        <v>21.5</v>
      </c>
      <c r="F356" s="48">
        <v>9</v>
      </c>
      <c r="G356" s="78">
        <f t="shared" si="5"/>
        <v>193.5</v>
      </c>
      <c r="H356" s="120">
        <v>43530</v>
      </c>
      <c r="I356" s="50">
        <v>0.53194444444444444</v>
      </c>
      <c r="J356" s="46" t="s">
        <v>15</v>
      </c>
      <c r="K356" s="51">
        <v>7.8</v>
      </c>
      <c r="L356" s="122" t="str">
        <f>IF(AND(Tabla_Ventas[[#This Row],[VENTA TOTAL]]&gt;=30,Tabla_Ventas[[#This Row],[TIPO DE CLIENTE/ Customer type]]="Member"),"PARTICIPA","NO PARTICIPA")</f>
        <v>PARTICIPA</v>
      </c>
    </row>
    <row r="357" spans="1:12" ht="19" x14ac:dyDescent="0.25">
      <c r="A357" s="45">
        <v>732675346</v>
      </c>
      <c r="B357" s="46" t="s">
        <v>19</v>
      </c>
      <c r="C357" s="46" t="s">
        <v>18</v>
      </c>
      <c r="D357" s="46" t="s">
        <v>24</v>
      </c>
      <c r="E357" s="47">
        <v>13.79</v>
      </c>
      <c r="F357" s="48">
        <v>5</v>
      </c>
      <c r="G357" s="78">
        <f t="shared" si="5"/>
        <v>68.949999999999989</v>
      </c>
      <c r="H357" s="120">
        <v>43770</v>
      </c>
      <c r="I357" s="50">
        <v>0.79652777777777783</v>
      </c>
      <c r="J357" s="46" t="s">
        <v>15</v>
      </c>
      <c r="K357" s="51">
        <v>7.8</v>
      </c>
      <c r="L357" s="122" t="str">
        <f>IF(AND(Tabla_Ventas[[#This Row],[VENTA TOTAL]]&gt;=30,Tabla_Ventas[[#This Row],[TIPO DE CLIENTE/ Customer type]]="Member"),"PARTICIPA","NO PARTICIPA")</f>
        <v>NO PARTICIPA</v>
      </c>
    </row>
    <row r="358" spans="1:12" ht="19" x14ac:dyDescent="0.25">
      <c r="A358" s="45">
        <v>132236451</v>
      </c>
      <c r="B358" s="46" t="s">
        <v>19</v>
      </c>
      <c r="C358" s="46" t="s">
        <v>13</v>
      </c>
      <c r="D358" s="46" t="s">
        <v>20</v>
      </c>
      <c r="E358" s="47">
        <v>20.97</v>
      </c>
      <c r="F358" s="48">
        <v>5</v>
      </c>
      <c r="G358" s="78">
        <f t="shared" si="5"/>
        <v>104.85</v>
      </c>
      <c r="H358" s="120">
        <v>43556</v>
      </c>
      <c r="I358" s="50">
        <v>0.55625000000000002</v>
      </c>
      <c r="J358" s="46" t="s">
        <v>23</v>
      </c>
      <c r="K358" s="51">
        <v>7.8</v>
      </c>
      <c r="L358" s="122" t="str">
        <f>IF(AND(Tabla_Ventas[[#This Row],[VENTA TOTAL]]&gt;=30,Tabla_Ventas[[#This Row],[TIPO DE CLIENTE/ Customer type]]="Member"),"PARTICIPA","NO PARTICIPA")</f>
        <v>PARTICIPA</v>
      </c>
    </row>
    <row r="359" spans="1:12" ht="19" x14ac:dyDescent="0.25">
      <c r="A359" s="45">
        <v>268036164</v>
      </c>
      <c r="B359" s="46" t="s">
        <v>16</v>
      </c>
      <c r="C359" s="46" t="s">
        <v>18</v>
      </c>
      <c r="D359" s="46" t="s">
        <v>20</v>
      </c>
      <c r="E359" s="47">
        <v>96.11</v>
      </c>
      <c r="F359" s="48">
        <v>1</v>
      </c>
      <c r="G359" s="78">
        <f t="shared" si="5"/>
        <v>96.11</v>
      </c>
      <c r="H359" s="120">
        <v>43490</v>
      </c>
      <c r="I359" s="50">
        <v>0.68611111111111101</v>
      </c>
      <c r="J359" s="46" t="s">
        <v>17</v>
      </c>
      <c r="K359" s="51">
        <v>7.8</v>
      </c>
      <c r="L359" s="122" t="str">
        <f>IF(AND(Tabla_Ventas[[#This Row],[VENTA TOTAL]]&gt;=30,Tabla_Ventas[[#This Row],[TIPO DE CLIENTE/ Customer type]]="Member"),"PARTICIPA","NO PARTICIPA")</f>
        <v>NO PARTICIPA</v>
      </c>
    </row>
    <row r="360" spans="1:12" ht="19" x14ac:dyDescent="0.25">
      <c r="A360" s="45">
        <v>642306693</v>
      </c>
      <c r="B360" s="46" t="s">
        <v>12</v>
      </c>
      <c r="C360" s="46" t="s">
        <v>18</v>
      </c>
      <c r="D360" s="46" t="s">
        <v>14</v>
      </c>
      <c r="E360" s="49">
        <v>54.51</v>
      </c>
      <c r="F360" s="48">
        <v>6</v>
      </c>
      <c r="G360" s="78">
        <f t="shared" si="5"/>
        <v>327.06</v>
      </c>
      <c r="H360" s="120">
        <v>43541</v>
      </c>
      <c r="I360" s="50">
        <v>0.57916666666666672</v>
      </c>
      <c r="J360" s="46" t="s">
        <v>17</v>
      </c>
      <c r="K360" s="51">
        <v>7.8</v>
      </c>
      <c r="L360" s="122" t="str">
        <f>IF(AND(Tabla_Ventas[[#This Row],[VENTA TOTAL]]&gt;=30,Tabla_Ventas[[#This Row],[TIPO DE CLIENTE/ Customer type]]="Member"),"PARTICIPA","NO PARTICIPA")</f>
        <v>NO PARTICIPA</v>
      </c>
    </row>
    <row r="361" spans="1:12" ht="19" x14ac:dyDescent="0.25">
      <c r="A361" s="45">
        <v>369822676</v>
      </c>
      <c r="B361" s="46" t="s">
        <v>12</v>
      </c>
      <c r="C361" s="46" t="s">
        <v>18</v>
      </c>
      <c r="D361" s="46" t="s">
        <v>21</v>
      </c>
      <c r="E361" s="49">
        <v>75.66</v>
      </c>
      <c r="F361" s="48">
        <v>5</v>
      </c>
      <c r="G361" s="78">
        <f t="shared" si="5"/>
        <v>378.29999999999995</v>
      </c>
      <c r="H361" s="120">
        <v>43480</v>
      </c>
      <c r="I361" s="50">
        <v>0.76527777777777783</v>
      </c>
      <c r="J361" s="46" t="s">
        <v>17</v>
      </c>
      <c r="K361" s="51">
        <v>7.8</v>
      </c>
      <c r="L361" s="122" t="str">
        <f>IF(AND(Tabla_Ventas[[#This Row],[VENTA TOTAL]]&gt;=30,Tabla_Ventas[[#This Row],[TIPO DE CLIENTE/ Customer type]]="Member"),"PARTICIPA","NO PARTICIPA")</f>
        <v>NO PARTICIPA</v>
      </c>
    </row>
    <row r="362" spans="1:12" ht="19" x14ac:dyDescent="0.25">
      <c r="A362" s="45">
        <v>868060466</v>
      </c>
      <c r="B362" s="46" t="s">
        <v>19</v>
      </c>
      <c r="C362" s="46" t="s">
        <v>13</v>
      </c>
      <c r="D362" s="46" t="s">
        <v>21</v>
      </c>
      <c r="E362" s="49">
        <v>69.58</v>
      </c>
      <c r="F362" s="48">
        <v>9</v>
      </c>
      <c r="G362" s="78">
        <f t="shared" si="5"/>
        <v>626.22</v>
      </c>
      <c r="H362" s="120">
        <v>43515</v>
      </c>
      <c r="I362" s="50">
        <v>0.81805555555555554</v>
      </c>
      <c r="J362" s="46" t="s">
        <v>15</v>
      </c>
      <c r="K362" s="51">
        <v>7.8</v>
      </c>
      <c r="L362" s="122" t="str">
        <f>IF(AND(Tabla_Ventas[[#This Row],[VENTA TOTAL]]&gt;=30,Tabla_Ventas[[#This Row],[TIPO DE CLIENTE/ Customer type]]="Member"),"PARTICIPA","NO PARTICIPA")</f>
        <v>PARTICIPA</v>
      </c>
    </row>
    <row r="363" spans="1:12" ht="19" x14ac:dyDescent="0.25">
      <c r="A363" s="45">
        <v>534533526</v>
      </c>
      <c r="B363" s="46" t="s">
        <v>19</v>
      </c>
      <c r="C363" s="46" t="s">
        <v>18</v>
      </c>
      <c r="D363" s="46" t="s">
        <v>14</v>
      </c>
      <c r="E363" s="49">
        <v>94.76</v>
      </c>
      <c r="F363" s="48">
        <v>4</v>
      </c>
      <c r="G363" s="78">
        <f t="shared" si="5"/>
        <v>379.04</v>
      </c>
      <c r="H363" s="120">
        <v>43507</v>
      </c>
      <c r="I363" s="50">
        <v>0.67083333333333339</v>
      </c>
      <c r="J363" s="46" t="s">
        <v>17</v>
      </c>
      <c r="K363" s="51">
        <v>7.8</v>
      </c>
      <c r="L363" s="122" t="str">
        <f>IF(AND(Tabla_Ventas[[#This Row],[VENTA TOTAL]]&gt;=30,Tabla_Ventas[[#This Row],[TIPO DE CLIENTE/ Customer type]]="Member"),"PARTICIPA","NO PARTICIPA")</f>
        <v>NO PARTICIPA</v>
      </c>
    </row>
    <row r="364" spans="1:12" ht="19" x14ac:dyDescent="0.25">
      <c r="A364" s="45">
        <v>840765966</v>
      </c>
      <c r="B364" s="46" t="s">
        <v>19</v>
      </c>
      <c r="C364" s="46" t="s">
        <v>13</v>
      </c>
      <c r="D364" s="46" t="s">
        <v>14</v>
      </c>
      <c r="E364" s="49">
        <v>12.76</v>
      </c>
      <c r="F364" s="48">
        <v>2</v>
      </c>
      <c r="G364" s="78">
        <f t="shared" si="5"/>
        <v>25.52</v>
      </c>
      <c r="H364" s="120">
        <v>43473</v>
      </c>
      <c r="I364" s="50">
        <v>0.75416666666666676</v>
      </c>
      <c r="J364" s="46" t="s">
        <v>17</v>
      </c>
      <c r="K364" s="51">
        <v>7.8</v>
      </c>
      <c r="L364" s="122" t="str">
        <f>IF(AND(Tabla_Ventas[[#This Row],[VENTA TOTAL]]&gt;=30,Tabla_Ventas[[#This Row],[TIPO DE CLIENTE/ Customer type]]="Member"),"PARTICIPA","NO PARTICIPA")</f>
        <v>NO PARTICIPA</v>
      </c>
    </row>
    <row r="365" spans="1:12" ht="19" x14ac:dyDescent="0.25">
      <c r="A365" s="45">
        <v>867471948</v>
      </c>
      <c r="B365" s="46" t="s">
        <v>16</v>
      </c>
      <c r="C365" s="46" t="s">
        <v>18</v>
      </c>
      <c r="D365" s="46" t="s">
        <v>25</v>
      </c>
      <c r="E365" s="49">
        <v>15.8</v>
      </c>
      <c r="F365" s="48">
        <v>10</v>
      </c>
      <c r="G365" s="78">
        <f t="shared" si="5"/>
        <v>158</v>
      </c>
      <c r="H365" s="120">
        <v>43474</v>
      </c>
      <c r="I365" s="50">
        <v>0.50486111111111109</v>
      </c>
      <c r="J365" s="46" t="s">
        <v>23</v>
      </c>
      <c r="K365" s="51">
        <v>7.8</v>
      </c>
      <c r="L365" s="122" t="str">
        <f>IF(AND(Tabla_Ventas[[#This Row],[VENTA TOTAL]]&gt;=30,Tabla_Ventas[[#This Row],[TIPO DE CLIENTE/ Customer type]]="Member"),"PARTICIPA","NO PARTICIPA")</f>
        <v>NO PARTICIPA</v>
      </c>
    </row>
    <row r="366" spans="1:12" ht="19" x14ac:dyDescent="0.25">
      <c r="A366" s="45">
        <v>189174241</v>
      </c>
      <c r="B366" s="46" t="s">
        <v>19</v>
      </c>
      <c r="C366" s="46" t="s">
        <v>18</v>
      </c>
      <c r="D366" s="46" t="s">
        <v>22</v>
      </c>
      <c r="E366" s="47">
        <v>87.67</v>
      </c>
      <c r="F366" s="48">
        <v>2</v>
      </c>
      <c r="G366" s="78">
        <f t="shared" si="5"/>
        <v>175.34</v>
      </c>
      <c r="H366" s="120">
        <v>43534</v>
      </c>
      <c r="I366" s="50">
        <v>0.51180555555555551</v>
      </c>
      <c r="J366" s="46" t="s">
        <v>15</v>
      </c>
      <c r="K366" s="51">
        <v>7.7</v>
      </c>
      <c r="L366" s="122" t="str">
        <f>IF(AND(Tabla_Ventas[[#This Row],[VENTA TOTAL]]&gt;=30,Tabla_Ventas[[#This Row],[TIPO DE CLIENTE/ Customer type]]="Member"),"PARTICIPA","NO PARTICIPA")</f>
        <v>NO PARTICIPA</v>
      </c>
    </row>
    <row r="367" spans="1:12" ht="19" x14ac:dyDescent="0.25">
      <c r="A367" s="45">
        <v>777827220</v>
      </c>
      <c r="B367" s="46" t="s">
        <v>16</v>
      </c>
      <c r="C367" s="46" t="s">
        <v>13</v>
      </c>
      <c r="D367" s="46" t="s">
        <v>25</v>
      </c>
      <c r="E367" s="47">
        <v>30.12</v>
      </c>
      <c r="F367" s="48">
        <v>8</v>
      </c>
      <c r="G367" s="78">
        <f t="shared" si="5"/>
        <v>240.96</v>
      </c>
      <c r="H367" s="120">
        <v>43527</v>
      </c>
      <c r="I367" s="50">
        <v>0.54236111111111118</v>
      </c>
      <c r="J367" s="46" t="s">
        <v>23</v>
      </c>
      <c r="K367" s="51">
        <v>7.7</v>
      </c>
      <c r="L367" s="122" t="str">
        <f>IF(AND(Tabla_Ventas[[#This Row],[VENTA TOTAL]]&gt;=30,Tabla_Ventas[[#This Row],[TIPO DE CLIENTE/ Customer type]]="Member"),"PARTICIPA","NO PARTICIPA")</f>
        <v>PARTICIPA</v>
      </c>
    </row>
    <row r="368" spans="1:12" ht="19" x14ac:dyDescent="0.25">
      <c r="A368" s="45">
        <v>434839547</v>
      </c>
      <c r="B368" s="46" t="s">
        <v>12</v>
      </c>
      <c r="C368" s="46" t="s">
        <v>13</v>
      </c>
      <c r="D368" s="46" t="s">
        <v>24</v>
      </c>
      <c r="E368" s="47">
        <v>38.47</v>
      </c>
      <c r="F368" s="48">
        <v>8</v>
      </c>
      <c r="G368" s="78">
        <f t="shared" si="5"/>
        <v>307.76</v>
      </c>
      <c r="H368" s="120">
        <v>43488</v>
      </c>
      <c r="I368" s="50">
        <v>0.49374999999999997</v>
      </c>
      <c r="J368" s="46" t="s">
        <v>23</v>
      </c>
      <c r="K368" s="51">
        <v>7.7</v>
      </c>
      <c r="L368" s="122" t="str">
        <f>IF(AND(Tabla_Ventas[[#This Row],[VENTA TOTAL]]&gt;=30,Tabla_Ventas[[#This Row],[TIPO DE CLIENTE/ Customer type]]="Member"),"PARTICIPA","NO PARTICIPA")</f>
        <v>PARTICIPA</v>
      </c>
    </row>
    <row r="369" spans="1:12" ht="19" x14ac:dyDescent="0.25">
      <c r="A369" s="45">
        <v>779060012</v>
      </c>
      <c r="B369" s="46" t="s">
        <v>12</v>
      </c>
      <c r="C369" s="46" t="s">
        <v>13</v>
      </c>
      <c r="D369" s="46" t="s">
        <v>25</v>
      </c>
      <c r="E369" s="47">
        <v>88.61</v>
      </c>
      <c r="F369" s="48">
        <v>1</v>
      </c>
      <c r="G369" s="78">
        <f t="shared" si="5"/>
        <v>88.61</v>
      </c>
      <c r="H369" s="120">
        <v>43484</v>
      </c>
      <c r="I369" s="50">
        <v>0.43124999999999997</v>
      </c>
      <c r="J369" s="46" t="s">
        <v>23</v>
      </c>
      <c r="K369" s="51">
        <v>7.7</v>
      </c>
      <c r="L369" s="122" t="str">
        <f>IF(AND(Tabla_Ventas[[#This Row],[VENTA TOTAL]]&gt;=30,Tabla_Ventas[[#This Row],[TIPO DE CLIENTE/ Customer type]]="Member"),"PARTICIPA","NO PARTICIPA")</f>
        <v>PARTICIPA</v>
      </c>
    </row>
    <row r="370" spans="1:12" ht="19" x14ac:dyDescent="0.25">
      <c r="A370" s="45">
        <v>873954984</v>
      </c>
      <c r="B370" s="46" t="s">
        <v>16</v>
      </c>
      <c r="C370" s="46" t="s">
        <v>13</v>
      </c>
      <c r="D370" s="46" t="s">
        <v>20</v>
      </c>
      <c r="E370" s="47">
        <v>76.900000000000006</v>
      </c>
      <c r="F370" s="48">
        <v>7</v>
      </c>
      <c r="G370" s="78">
        <f t="shared" si="5"/>
        <v>538.30000000000007</v>
      </c>
      <c r="H370" s="120">
        <v>43511</v>
      </c>
      <c r="I370" s="50">
        <v>0.84791666666666676</v>
      </c>
      <c r="J370" s="46" t="s">
        <v>23</v>
      </c>
      <c r="K370" s="51">
        <v>7.7</v>
      </c>
      <c r="L370" s="122" t="str">
        <f>IF(AND(Tabla_Ventas[[#This Row],[VENTA TOTAL]]&gt;=30,Tabla_Ventas[[#This Row],[TIPO DE CLIENTE/ Customer type]]="Member"),"PARTICIPA","NO PARTICIPA")</f>
        <v>PARTICIPA</v>
      </c>
    </row>
    <row r="371" spans="1:12" ht="19" x14ac:dyDescent="0.25">
      <c r="A371" s="45">
        <v>345084992</v>
      </c>
      <c r="B371" s="46" t="s">
        <v>19</v>
      </c>
      <c r="C371" s="46" t="s">
        <v>18</v>
      </c>
      <c r="D371" s="46" t="s">
        <v>25</v>
      </c>
      <c r="E371" s="47">
        <v>33.99</v>
      </c>
      <c r="F371" s="48">
        <v>6</v>
      </c>
      <c r="G371" s="78">
        <f t="shared" si="5"/>
        <v>203.94</v>
      </c>
      <c r="H371" s="120">
        <v>43532</v>
      </c>
      <c r="I371" s="50">
        <v>0.65069444444444446</v>
      </c>
      <c r="J371" s="46" t="s">
        <v>15</v>
      </c>
      <c r="K371" s="51">
        <v>7.7</v>
      </c>
      <c r="L371" s="122" t="str">
        <f>IF(AND(Tabla_Ventas[[#This Row],[VENTA TOTAL]]&gt;=30,Tabla_Ventas[[#This Row],[TIPO DE CLIENTE/ Customer type]]="Member"),"PARTICIPA","NO PARTICIPA")</f>
        <v>NO PARTICIPA</v>
      </c>
    </row>
    <row r="372" spans="1:12" ht="19" x14ac:dyDescent="0.25">
      <c r="A372" s="45">
        <v>440595691</v>
      </c>
      <c r="B372" s="46" t="s">
        <v>12</v>
      </c>
      <c r="C372" s="46" t="s">
        <v>13</v>
      </c>
      <c r="D372" s="46" t="s">
        <v>20</v>
      </c>
      <c r="E372" s="47">
        <v>37.15</v>
      </c>
      <c r="F372" s="48">
        <v>7</v>
      </c>
      <c r="G372" s="78">
        <f t="shared" si="5"/>
        <v>260.05</v>
      </c>
      <c r="H372" s="120">
        <v>43679</v>
      </c>
      <c r="I372" s="50">
        <v>0.54999999999999993</v>
      </c>
      <c r="J372" s="46" t="s">
        <v>15</v>
      </c>
      <c r="K372" s="51">
        <v>7.7</v>
      </c>
      <c r="L372" s="122" t="str">
        <f>IF(AND(Tabla_Ventas[[#This Row],[VENTA TOTAL]]&gt;=30,Tabla_Ventas[[#This Row],[TIPO DE CLIENTE/ Customer type]]="Member"),"PARTICIPA","NO PARTICIPA")</f>
        <v>PARTICIPA</v>
      </c>
    </row>
    <row r="373" spans="1:12" ht="19" x14ac:dyDescent="0.25">
      <c r="A373" s="45">
        <v>862179201</v>
      </c>
      <c r="B373" s="46" t="s">
        <v>16</v>
      </c>
      <c r="C373" s="46" t="s">
        <v>18</v>
      </c>
      <c r="D373" s="46" t="s">
        <v>24</v>
      </c>
      <c r="E373" s="47">
        <v>84.05</v>
      </c>
      <c r="F373" s="48">
        <v>6</v>
      </c>
      <c r="G373" s="78">
        <f t="shared" si="5"/>
        <v>504.29999999999995</v>
      </c>
      <c r="H373" s="120">
        <v>43494</v>
      </c>
      <c r="I373" s="50">
        <v>0.45</v>
      </c>
      <c r="J373" s="46" t="s">
        <v>15</v>
      </c>
      <c r="K373" s="51">
        <v>7.7</v>
      </c>
      <c r="L373" s="122" t="str">
        <f>IF(AND(Tabla_Ventas[[#This Row],[VENTA TOTAL]]&gt;=30,Tabla_Ventas[[#This Row],[TIPO DE CLIENTE/ Customer type]]="Member"),"PARTICIPA","NO PARTICIPA")</f>
        <v>NO PARTICIPA</v>
      </c>
    </row>
    <row r="374" spans="1:12" ht="19" x14ac:dyDescent="0.25">
      <c r="A374" s="45">
        <v>734911155</v>
      </c>
      <c r="B374" s="46" t="s">
        <v>16</v>
      </c>
      <c r="C374" s="46" t="s">
        <v>18</v>
      </c>
      <c r="D374" s="46" t="s">
        <v>21</v>
      </c>
      <c r="E374" s="47">
        <v>45.71</v>
      </c>
      <c r="F374" s="48">
        <v>3</v>
      </c>
      <c r="G374" s="78">
        <f t="shared" si="5"/>
        <v>137.13</v>
      </c>
      <c r="H374" s="120">
        <v>43550</v>
      </c>
      <c r="I374" s="50">
        <v>0.44027777777777777</v>
      </c>
      <c r="J374" s="46" t="s">
        <v>15</v>
      </c>
      <c r="K374" s="51">
        <v>7.7</v>
      </c>
      <c r="L374" s="122" t="str">
        <f>IF(AND(Tabla_Ventas[[#This Row],[VENTA TOTAL]]&gt;=30,Tabla_Ventas[[#This Row],[TIPO DE CLIENTE/ Customer type]]="Member"),"PARTICIPA","NO PARTICIPA")</f>
        <v>NO PARTICIPA</v>
      </c>
    </row>
    <row r="375" spans="1:12" ht="19" x14ac:dyDescent="0.25">
      <c r="A375" s="45">
        <v>356448813</v>
      </c>
      <c r="B375" s="46" t="s">
        <v>16</v>
      </c>
      <c r="C375" s="46" t="s">
        <v>18</v>
      </c>
      <c r="D375" s="46" t="s">
        <v>25</v>
      </c>
      <c r="E375" s="47">
        <v>37.479999999999997</v>
      </c>
      <c r="F375" s="48">
        <v>3</v>
      </c>
      <c r="G375" s="78">
        <f t="shared" si="5"/>
        <v>112.44</v>
      </c>
      <c r="H375" s="120">
        <v>43485</v>
      </c>
      <c r="I375" s="50">
        <v>0.57291666666666663</v>
      </c>
      <c r="J375" s="46" t="s">
        <v>15</v>
      </c>
      <c r="K375" s="51">
        <v>7.7</v>
      </c>
      <c r="L375" s="122" t="str">
        <f>IF(AND(Tabla_Ventas[[#This Row],[VENTA TOTAL]]&gt;=30,Tabla_Ventas[[#This Row],[TIPO DE CLIENTE/ Customer type]]="Member"),"PARTICIPA","NO PARTICIPA")</f>
        <v>NO PARTICIPA</v>
      </c>
    </row>
    <row r="376" spans="1:12" ht="19" x14ac:dyDescent="0.25">
      <c r="A376" s="45">
        <v>651887328</v>
      </c>
      <c r="B376" s="46" t="s">
        <v>19</v>
      </c>
      <c r="C376" s="46" t="s">
        <v>18</v>
      </c>
      <c r="D376" s="46" t="s">
        <v>22</v>
      </c>
      <c r="E376" s="47">
        <v>65.739999999999995</v>
      </c>
      <c r="F376" s="48">
        <v>9</v>
      </c>
      <c r="G376" s="78">
        <f t="shared" si="5"/>
        <v>591.66</v>
      </c>
      <c r="H376" s="120">
        <v>43466</v>
      </c>
      <c r="I376" s="50">
        <v>0.57986111111111105</v>
      </c>
      <c r="J376" s="46" t="s">
        <v>23</v>
      </c>
      <c r="K376" s="51">
        <v>7.7</v>
      </c>
      <c r="L376" s="122" t="str">
        <f>IF(AND(Tabla_Ventas[[#This Row],[VENTA TOTAL]]&gt;=30,Tabla_Ventas[[#This Row],[TIPO DE CLIENTE/ Customer type]]="Member"),"PARTICIPA","NO PARTICIPA")</f>
        <v>NO PARTICIPA</v>
      </c>
    </row>
    <row r="377" spans="1:12" ht="19" x14ac:dyDescent="0.25">
      <c r="A377" s="45">
        <v>797880493</v>
      </c>
      <c r="B377" s="46" t="s">
        <v>19</v>
      </c>
      <c r="C377" s="46" t="s">
        <v>18</v>
      </c>
      <c r="D377" s="46" t="s">
        <v>20</v>
      </c>
      <c r="E377" s="47">
        <v>64.27</v>
      </c>
      <c r="F377" s="48">
        <v>4</v>
      </c>
      <c r="G377" s="78">
        <f t="shared" si="5"/>
        <v>257.08</v>
      </c>
      <c r="H377" s="120">
        <v>43550</v>
      </c>
      <c r="I377" s="50">
        <v>0.57916666666666672</v>
      </c>
      <c r="J377" s="46" t="s">
        <v>23</v>
      </c>
      <c r="K377" s="51">
        <v>7.7</v>
      </c>
      <c r="L377" s="122" t="str">
        <f>IF(AND(Tabla_Ventas[[#This Row],[VENTA TOTAL]]&gt;=30,Tabla_Ventas[[#This Row],[TIPO DE CLIENTE/ Customer type]]="Member"),"PARTICIPA","NO PARTICIPA")</f>
        <v>NO PARTICIPA</v>
      </c>
    </row>
    <row r="378" spans="1:12" ht="19" x14ac:dyDescent="0.25">
      <c r="A378" s="45">
        <v>695286250</v>
      </c>
      <c r="B378" s="46" t="s">
        <v>19</v>
      </c>
      <c r="C378" s="46" t="s">
        <v>18</v>
      </c>
      <c r="D378" s="46" t="s">
        <v>14</v>
      </c>
      <c r="E378" s="47">
        <v>43.06</v>
      </c>
      <c r="F378" s="48">
        <v>5</v>
      </c>
      <c r="G378" s="78">
        <f t="shared" si="5"/>
        <v>215.3</v>
      </c>
      <c r="H378" s="120">
        <v>43500</v>
      </c>
      <c r="I378" s="50">
        <v>0.69305555555555554</v>
      </c>
      <c r="J378" s="46" t="s">
        <v>17</v>
      </c>
      <c r="K378" s="51">
        <v>7.7</v>
      </c>
      <c r="L378" s="122" t="str">
        <f>IF(AND(Tabla_Ventas[[#This Row],[VENTA TOTAL]]&gt;=30,Tabla_Ventas[[#This Row],[TIPO DE CLIENTE/ Customer type]]="Member"),"PARTICIPA","NO PARTICIPA")</f>
        <v>NO PARTICIPA</v>
      </c>
    </row>
    <row r="379" spans="1:12" ht="19" x14ac:dyDescent="0.25">
      <c r="A379" s="45">
        <v>714023114</v>
      </c>
      <c r="B379" s="46" t="s">
        <v>16</v>
      </c>
      <c r="C379" s="46" t="s">
        <v>18</v>
      </c>
      <c r="D379" s="46" t="s">
        <v>14</v>
      </c>
      <c r="E379" s="49">
        <v>98.8</v>
      </c>
      <c r="F379" s="48">
        <v>2</v>
      </c>
      <c r="G379" s="78">
        <f t="shared" si="5"/>
        <v>197.6</v>
      </c>
      <c r="H379" s="120">
        <v>43517</v>
      </c>
      <c r="I379" s="50">
        <v>0.48541666666666666</v>
      </c>
      <c r="J379" s="46" t="s">
        <v>23</v>
      </c>
      <c r="K379" s="51">
        <v>7.7</v>
      </c>
      <c r="L379" s="122" t="str">
        <f>IF(AND(Tabla_Ventas[[#This Row],[VENTA TOTAL]]&gt;=30,Tabla_Ventas[[#This Row],[TIPO DE CLIENTE/ Customer type]]="Member"),"PARTICIPA","NO PARTICIPA")</f>
        <v>NO PARTICIPA</v>
      </c>
    </row>
    <row r="380" spans="1:12" ht="19" x14ac:dyDescent="0.25">
      <c r="A380" s="45">
        <v>779422410</v>
      </c>
      <c r="B380" s="46" t="s">
        <v>12</v>
      </c>
      <c r="C380" s="46" t="s">
        <v>13</v>
      </c>
      <c r="D380" s="46" t="s">
        <v>24</v>
      </c>
      <c r="E380" s="49">
        <v>57.74</v>
      </c>
      <c r="F380" s="48">
        <v>3</v>
      </c>
      <c r="G380" s="78">
        <f t="shared" si="5"/>
        <v>173.22</v>
      </c>
      <c r="H380" s="120">
        <v>43516</v>
      </c>
      <c r="I380" s="50">
        <v>0.54583333333333328</v>
      </c>
      <c r="J380" s="46" t="s">
        <v>17</v>
      </c>
      <c r="K380" s="51">
        <v>7.7</v>
      </c>
      <c r="L380" s="122" t="str">
        <f>IF(AND(Tabla_Ventas[[#This Row],[VENTA TOTAL]]&gt;=30,Tabla_Ventas[[#This Row],[TIPO DE CLIENTE/ Customer type]]="Member"),"PARTICIPA","NO PARTICIPA")</f>
        <v>PARTICIPA</v>
      </c>
    </row>
    <row r="381" spans="1:12" ht="19" x14ac:dyDescent="0.25">
      <c r="A381" s="45">
        <v>886546089</v>
      </c>
      <c r="B381" s="46" t="s">
        <v>19</v>
      </c>
      <c r="C381" s="46" t="s">
        <v>18</v>
      </c>
      <c r="D381" s="46" t="s">
        <v>25</v>
      </c>
      <c r="E381" s="49">
        <v>11.43</v>
      </c>
      <c r="F381" s="48">
        <v>6</v>
      </c>
      <c r="G381" s="78">
        <f t="shared" si="5"/>
        <v>68.58</v>
      </c>
      <c r="H381" s="120">
        <v>43480</v>
      </c>
      <c r="I381" s="50">
        <v>0.72499999999999998</v>
      </c>
      <c r="J381" s="46" t="s">
        <v>23</v>
      </c>
      <c r="K381" s="51">
        <v>7.7</v>
      </c>
      <c r="L381" s="122" t="str">
        <f>IF(AND(Tabla_Ventas[[#This Row],[VENTA TOTAL]]&gt;=30,Tabla_Ventas[[#This Row],[TIPO DE CLIENTE/ Customer type]]="Member"),"PARTICIPA","NO PARTICIPA")</f>
        <v>NO PARTICIPA</v>
      </c>
    </row>
    <row r="382" spans="1:12" ht="19" x14ac:dyDescent="0.25">
      <c r="A382" s="45">
        <v>222420244</v>
      </c>
      <c r="B382" s="46" t="s">
        <v>12</v>
      </c>
      <c r="C382" s="46" t="s">
        <v>13</v>
      </c>
      <c r="D382" s="46" t="s">
        <v>20</v>
      </c>
      <c r="E382" s="49">
        <v>72.11</v>
      </c>
      <c r="F382" s="48">
        <v>9</v>
      </c>
      <c r="G382" s="78">
        <f t="shared" si="5"/>
        <v>648.99</v>
      </c>
      <c r="H382" s="120">
        <v>43493</v>
      </c>
      <c r="I382" s="50">
        <v>0.57847222222222217</v>
      </c>
      <c r="J382" s="46" t="s">
        <v>15</v>
      </c>
      <c r="K382" s="51">
        <v>7.7</v>
      </c>
      <c r="L382" s="122" t="str">
        <f>IF(AND(Tabla_Ventas[[#This Row],[VENTA TOTAL]]&gt;=30,Tabla_Ventas[[#This Row],[TIPO DE CLIENTE/ Customer type]]="Member"),"PARTICIPA","NO PARTICIPA")</f>
        <v>PARTICIPA</v>
      </c>
    </row>
    <row r="383" spans="1:12" ht="19" x14ac:dyDescent="0.25">
      <c r="A383" s="45">
        <v>727021313</v>
      </c>
      <c r="B383" s="46" t="s">
        <v>19</v>
      </c>
      <c r="C383" s="46" t="s">
        <v>13</v>
      </c>
      <c r="D383" s="46" t="s">
        <v>24</v>
      </c>
      <c r="E383" s="49">
        <v>31.84</v>
      </c>
      <c r="F383" s="48">
        <v>1</v>
      </c>
      <c r="G383" s="78">
        <f t="shared" si="5"/>
        <v>31.84</v>
      </c>
      <c r="H383" s="120">
        <v>43505</v>
      </c>
      <c r="I383" s="50">
        <v>0.55694444444444446</v>
      </c>
      <c r="J383" s="46" t="s">
        <v>23</v>
      </c>
      <c r="K383" s="51">
        <v>7.7</v>
      </c>
      <c r="L383" s="122" t="str">
        <f>IF(AND(Tabla_Ventas[[#This Row],[VENTA TOTAL]]&gt;=30,Tabla_Ventas[[#This Row],[TIPO DE CLIENTE/ Customer type]]="Member"),"PARTICIPA","NO PARTICIPA")</f>
        <v>PARTICIPA</v>
      </c>
    </row>
    <row r="384" spans="1:12" ht="19" x14ac:dyDescent="0.25">
      <c r="A384" s="45">
        <v>333737901</v>
      </c>
      <c r="B384" s="46" t="s">
        <v>12</v>
      </c>
      <c r="C384" s="46" t="s">
        <v>18</v>
      </c>
      <c r="D384" s="46" t="s">
        <v>20</v>
      </c>
      <c r="E384" s="47">
        <v>54.92</v>
      </c>
      <c r="F384" s="48">
        <v>8</v>
      </c>
      <c r="G384" s="78">
        <f t="shared" si="5"/>
        <v>439.36</v>
      </c>
      <c r="H384" s="120">
        <v>43547</v>
      </c>
      <c r="I384" s="50">
        <v>0.55833333333333335</v>
      </c>
      <c r="J384" s="46" t="s">
        <v>17</v>
      </c>
      <c r="K384" s="51">
        <v>7.6</v>
      </c>
      <c r="L384" s="122" t="str">
        <f>IF(AND(Tabla_Ventas[[#This Row],[VENTA TOTAL]]&gt;=30,Tabla_Ventas[[#This Row],[TIPO DE CLIENTE/ Customer type]]="Member"),"PARTICIPA","NO PARTICIPA")</f>
        <v>NO PARTICIPA</v>
      </c>
    </row>
    <row r="385" spans="1:12" ht="19" x14ac:dyDescent="0.25">
      <c r="A385" s="45">
        <v>228961411</v>
      </c>
      <c r="B385" s="46" t="s">
        <v>12</v>
      </c>
      <c r="C385" s="46" t="s">
        <v>13</v>
      </c>
      <c r="D385" s="46" t="s">
        <v>24</v>
      </c>
      <c r="E385" s="47">
        <v>98.7</v>
      </c>
      <c r="F385" s="48">
        <v>8</v>
      </c>
      <c r="G385" s="78">
        <f t="shared" si="5"/>
        <v>789.6</v>
      </c>
      <c r="H385" s="120">
        <v>43558</v>
      </c>
      <c r="I385" s="50">
        <v>0.86041666666666661</v>
      </c>
      <c r="J385" s="46" t="s">
        <v>23</v>
      </c>
      <c r="K385" s="51">
        <v>7.6</v>
      </c>
      <c r="L385" s="122" t="str">
        <f>IF(AND(Tabla_Ventas[[#This Row],[VENTA TOTAL]]&gt;=30,Tabla_Ventas[[#This Row],[TIPO DE CLIENTE/ Customer type]]="Member"),"PARTICIPA","NO PARTICIPA")</f>
        <v>PARTICIPA</v>
      </c>
    </row>
    <row r="386" spans="1:12" ht="19" x14ac:dyDescent="0.25">
      <c r="A386" s="45">
        <v>853232453</v>
      </c>
      <c r="B386" s="46" t="s">
        <v>16</v>
      </c>
      <c r="C386" s="46" t="s">
        <v>13</v>
      </c>
      <c r="D386" s="46" t="s">
        <v>20</v>
      </c>
      <c r="E386" s="47">
        <v>75.739999999999995</v>
      </c>
      <c r="F386" s="48">
        <v>4</v>
      </c>
      <c r="G386" s="78">
        <f t="shared" si="5"/>
        <v>302.95999999999998</v>
      </c>
      <c r="H386" s="120">
        <v>43510</v>
      </c>
      <c r="I386" s="50">
        <v>0.60763888888888895</v>
      </c>
      <c r="J386" s="46" t="s">
        <v>23</v>
      </c>
      <c r="K386" s="51">
        <v>7.6</v>
      </c>
      <c r="L386" s="122" t="str">
        <f>IF(AND(Tabla_Ventas[[#This Row],[VENTA TOTAL]]&gt;=30,Tabla_Ventas[[#This Row],[TIPO DE CLIENTE/ Customer type]]="Member"),"PARTICIPA","NO PARTICIPA")</f>
        <v>PARTICIPA</v>
      </c>
    </row>
    <row r="387" spans="1:12" ht="19" x14ac:dyDescent="0.25">
      <c r="A387" s="45">
        <v>498411961</v>
      </c>
      <c r="B387" s="46" t="s">
        <v>16</v>
      </c>
      <c r="C387" s="46" t="s">
        <v>18</v>
      </c>
      <c r="D387" s="46" t="s">
        <v>20</v>
      </c>
      <c r="E387" s="47">
        <v>66.680000000000007</v>
      </c>
      <c r="F387" s="48">
        <v>5</v>
      </c>
      <c r="G387" s="78">
        <f t="shared" si="5"/>
        <v>333.40000000000003</v>
      </c>
      <c r="H387" s="120">
        <v>43516</v>
      </c>
      <c r="I387" s="50">
        <v>0.75069444444444444</v>
      </c>
      <c r="J387" s="46" t="s">
        <v>23</v>
      </c>
      <c r="K387" s="51">
        <v>7.6</v>
      </c>
      <c r="L387" s="122" t="str">
        <f>IF(AND(Tabla_Ventas[[#This Row],[VENTA TOTAL]]&gt;=30,Tabla_Ventas[[#This Row],[TIPO DE CLIENTE/ Customer type]]="Member"),"PARTICIPA","NO PARTICIPA")</f>
        <v>NO PARTICIPA</v>
      </c>
    </row>
    <row r="388" spans="1:12" ht="19" x14ac:dyDescent="0.25">
      <c r="A388" s="45">
        <v>340660321</v>
      </c>
      <c r="B388" s="46" t="s">
        <v>19</v>
      </c>
      <c r="C388" s="46" t="s">
        <v>13</v>
      </c>
      <c r="D388" s="46" t="s">
        <v>21</v>
      </c>
      <c r="E388" s="47">
        <v>36.36</v>
      </c>
      <c r="F388" s="48">
        <v>4</v>
      </c>
      <c r="G388" s="78">
        <f t="shared" ref="G388:G451" si="6">F388*E388</f>
        <v>145.44</v>
      </c>
      <c r="H388" s="120">
        <v>43549</v>
      </c>
      <c r="I388" s="50">
        <v>0.54652777777777783</v>
      </c>
      <c r="J388" s="46" t="s">
        <v>23</v>
      </c>
      <c r="K388" s="51">
        <v>7.6</v>
      </c>
      <c r="L388" s="122" t="str">
        <f>IF(AND(Tabla_Ventas[[#This Row],[VENTA TOTAL]]&gt;=30,Tabla_Ventas[[#This Row],[TIPO DE CLIENTE/ Customer type]]="Member"),"PARTICIPA","NO PARTICIPA")</f>
        <v>PARTICIPA</v>
      </c>
    </row>
    <row r="389" spans="1:12" ht="19" x14ac:dyDescent="0.25">
      <c r="A389" s="45">
        <v>135848019</v>
      </c>
      <c r="B389" s="46" t="s">
        <v>19</v>
      </c>
      <c r="C389" s="46" t="s">
        <v>18</v>
      </c>
      <c r="D389" s="46" t="s">
        <v>22</v>
      </c>
      <c r="E389" s="47">
        <v>77.930000000000007</v>
      </c>
      <c r="F389" s="48">
        <v>9</v>
      </c>
      <c r="G389" s="78">
        <f t="shared" si="6"/>
        <v>701.37000000000012</v>
      </c>
      <c r="H389" s="120">
        <v>43523</v>
      </c>
      <c r="I389" s="50">
        <v>0.67361111111111116</v>
      </c>
      <c r="J389" s="46" t="s">
        <v>17</v>
      </c>
      <c r="K389" s="51">
        <v>7.6</v>
      </c>
      <c r="L389" s="122" t="str">
        <f>IF(AND(Tabla_Ventas[[#This Row],[VENTA TOTAL]]&gt;=30,Tabla_Ventas[[#This Row],[TIPO DE CLIENTE/ Customer type]]="Member"),"PARTICIPA","NO PARTICIPA")</f>
        <v>NO PARTICIPA</v>
      </c>
    </row>
    <row r="390" spans="1:12" ht="19" x14ac:dyDescent="0.25">
      <c r="A390" s="45">
        <v>744095786</v>
      </c>
      <c r="B390" s="46" t="s">
        <v>16</v>
      </c>
      <c r="C390" s="46" t="s">
        <v>18</v>
      </c>
      <c r="D390" s="46" t="s">
        <v>21</v>
      </c>
      <c r="E390" s="47">
        <v>22.01</v>
      </c>
      <c r="F390" s="48">
        <v>6</v>
      </c>
      <c r="G390" s="78">
        <f t="shared" si="6"/>
        <v>132.06</v>
      </c>
      <c r="H390" s="120">
        <v>43497</v>
      </c>
      <c r="I390" s="50">
        <v>0.78472222222222221</v>
      </c>
      <c r="J390" s="46" t="s">
        <v>23</v>
      </c>
      <c r="K390" s="51">
        <v>7.6</v>
      </c>
      <c r="L390" s="122" t="str">
        <f>IF(AND(Tabla_Ventas[[#This Row],[VENTA TOTAL]]&gt;=30,Tabla_Ventas[[#This Row],[TIPO DE CLIENTE/ Customer type]]="Member"),"PARTICIPA","NO PARTICIPA")</f>
        <v>NO PARTICIPA</v>
      </c>
    </row>
    <row r="391" spans="1:12" ht="19" x14ac:dyDescent="0.25">
      <c r="A391" s="45">
        <v>325908763</v>
      </c>
      <c r="B391" s="46" t="s">
        <v>12</v>
      </c>
      <c r="C391" s="46" t="s">
        <v>13</v>
      </c>
      <c r="D391" s="46" t="s">
        <v>21</v>
      </c>
      <c r="E391" s="47">
        <v>46.57</v>
      </c>
      <c r="F391" s="48">
        <v>10</v>
      </c>
      <c r="G391" s="78">
        <f t="shared" si="6"/>
        <v>465.7</v>
      </c>
      <c r="H391" s="120">
        <v>43492</v>
      </c>
      <c r="I391" s="50">
        <v>0.58194444444444449</v>
      </c>
      <c r="J391" s="46" t="s">
        <v>23</v>
      </c>
      <c r="K391" s="51">
        <v>7.6</v>
      </c>
      <c r="L391" s="122" t="str">
        <f>IF(AND(Tabla_Ventas[[#This Row],[VENTA TOTAL]]&gt;=30,Tabla_Ventas[[#This Row],[TIPO DE CLIENTE/ Customer type]]="Member"),"PARTICIPA","NO PARTICIPA")</f>
        <v>PARTICIPA</v>
      </c>
    </row>
    <row r="392" spans="1:12" ht="19" x14ac:dyDescent="0.25">
      <c r="A392" s="45">
        <v>189520236</v>
      </c>
      <c r="B392" s="46" t="s">
        <v>19</v>
      </c>
      <c r="C392" s="46" t="s">
        <v>18</v>
      </c>
      <c r="D392" s="46" t="s">
        <v>21</v>
      </c>
      <c r="E392" s="47">
        <v>99.55</v>
      </c>
      <c r="F392" s="48">
        <v>7</v>
      </c>
      <c r="G392" s="78">
        <f t="shared" si="6"/>
        <v>696.85</v>
      </c>
      <c r="H392" s="120">
        <v>43538</v>
      </c>
      <c r="I392" s="50">
        <v>0.50486111111111109</v>
      </c>
      <c r="J392" s="46" t="s">
        <v>23</v>
      </c>
      <c r="K392" s="51">
        <v>7.6</v>
      </c>
      <c r="L392" s="122" t="str">
        <f>IF(AND(Tabla_Ventas[[#This Row],[VENTA TOTAL]]&gt;=30,Tabla_Ventas[[#This Row],[TIPO DE CLIENTE/ Customer type]]="Member"),"PARTICIPA","NO PARTICIPA")</f>
        <v>NO PARTICIPA</v>
      </c>
    </row>
    <row r="393" spans="1:12" ht="19" x14ac:dyDescent="0.25">
      <c r="A393" s="45">
        <v>834831826</v>
      </c>
      <c r="B393" s="46" t="s">
        <v>16</v>
      </c>
      <c r="C393" s="46" t="s">
        <v>13</v>
      </c>
      <c r="D393" s="46" t="s">
        <v>25</v>
      </c>
      <c r="E393" s="47">
        <v>82.04</v>
      </c>
      <c r="F393" s="48">
        <v>5</v>
      </c>
      <c r="G393" s="78">
        <f t="shared" si="6"/>
        <v>410.20000000000005</v>
      </c>
      <c r="H393" s="120">
        <v>43521</v>
      </c>
      <c r="I393" s="50">
        <v>0.71944444444444444</v>
      </c>
      <c r="J393" s="46" t="s">
        <v>15</v>
      </c>
      <c r="K393" s="51">
        <v>7.6</v>
      </c>
      <c r="L393" s="122" t="str">
        <f>IF(AND(Tabla_Ventas[[#This Row],[VENTA TOTAL]]&gt;=30,Tabla_Ventas[[#This Row],[TIPO DE CLIENTE/ Customer type]]="Member"),"PARTICIPA","NO PARTICIPA")</f>
        <v>PARTICIPA</v>
      </c>
    </row>
    <row r="394" spans="1:12" ht="19" x14ac:dyDescent="0.25">
      <c r="A394" s="45">
        <v>518172983</v>
      </c>
      <c r="B394" s="46" t="s">
        <v>19</v>
      </c>
      <c r="C394" s="46" t="s">
        <v>18</v>
      </c>
      <c r="D394" s="46" t="s">
        <v>22</v>
      </c>
      <c r="E394" s="49">
        <v>48.63</v>
      </c>
      <c r="F394" s="48">
        <v>4</v>
      </c>
      <c r="G394" s="78">
        <f t="shared" si="6"/>
        <v>194.52</v>
      </c>
      <c r="H394" s="120">
        <v>43500</v>
      </c>
      <c r="I394" s="50">
        <v>0.65555555555555556</v>
      </c>
      <c r="J394" s="46" t="s">
        <v>17</v>
      </c>
      <c r="K394" s="51">
        <v>7.6</v>
      </c>
      <c r="L394" s="122" t="str">
        <f>IF(AND(Tabla_Ventas[[#This Row],[VENTA TOTAL]]&gt;=30,Tabla_Ventas[[#This Row],[TIPO DE CLIENTE/ Customer type]]="Member"),"PARTICIPA","NO PARTICIPA")</f>
        <v>NO PARTICIPA</v>
      </c>
    </row>
    <row r="395" spans="1:12" ht="19" x14ac:dyDescent="0.25">
      <c r="A395" s="45">
        <v>372625264</v>
      </c>
      <c r="B395" s="46" t="s">
        <v>16</v>
      </c>
      <c r="C395" s="46" t="s">
        <v>18</v>
      </c>
      <c r="D395" s="46" t="s">
        <v>24</v>
      </c>
      <c r="E395" s="49">
        <v>52.6</v>
      </c>
      <c r="F395" s="48">
        <v>9</v>
      </c>
      <c r="G395" s="78">
        <f t="shared" si="6"/>
        <v>473.40000000000003</v>
      </c>
      <c r="H395" s="120">
        <v>43481</v>
      </c>
      <c r="I395" s="50">
        <v>0.61249999999999993</v>
      </c>
      <c r="J395" s="46" t="s">
        <v>23</v>
      </c>
      <c r="K395" s="51">
        <v>7.6</v>
      </c>
      <c r="L395" s="122" t="str">
        <f>IF(AND(Tabla_Ventas[[#This Row],[VENTA TOTAL]]&gt;=30,Tabla_Ventas[[#This Row],[TIPO DE CLIENTE/ Customer type]]="Member"),"PARTICIPA","NO PARTICIPA")</f>
        <v>NO PARTICIPA</v>
      </c>
    </row>
    <row r="396" spans="1:12" ht="19" x14ac:dyDescent="0.25">
      <c r="A396" s="45">
        <v>834455519</v>
      </c>
      <c r="B396" s="46" t="s">
        <v>12</v>
      </c>
      <c r="C396" s="46" t="s">
        <v>18</v>
      </c>
      <c r="D396" s="46" t="s">
        <v>21</v>
      </c>
      <c r="E396" s="49">
        <v>43</v>
      </c>
      <c r="F396" s="48">
        <v>4</v>
      </c>
      <c r="G396" s="78">
        <f t="shared" si="6"/>
        <v>172</v>
      </c>
      <c r="H396" s="120">
        <v>43496</v>
      </c>
      <c r="I396" s="50">
        <v>0.8666666666666667</v>
      </c>
      <c r="J396" s="46" t="s">
        <v>17</v>
      </c>
      <c r="K396" s="51">
        <v>7.6</v>
      </c>
      <c r="L396" s="122" t="str">
        <f>IF(AND(Tabla_Ventas[[#This Row],[VENTA TOTAL]]&gt;=30,Tabla_Ventas[[#This Row],[TIPO DE CLIENTE/ Customer type]]="Member"),"PARTICIPA","NO PARTICIPA")</f>
        <v>NO PARTICIPA</v>
      </c>
    </row>
    <row r="397" spans="1:12" ht="19" x14ac:dyDescent="0.25">
      <c r="A397" s="45">
        <v>587734862</v>
      </c>
      <c r="B397" s="46" t="s">
        <v>19</v>
      </c>
      <c r="C397" s="46" t="s">
        <v>13</v>
      </c>
      <c r="D397" s="46" t="s">
        <v>20</v>
      </c>
      <c r="E397" s="49">
        <v>10.69</v>
      </c>
      <c r="F397" s="48">
        <v>5</v>
      </c>
      <c r="G397" s="78">
        <f t="shared" si="6"/>
        <v>53.449999999999996</v>
      </c>
      <c r="H397" s="120">
        <v>43550</v>
      </c>
      <c r="I397" s="50">
        <v>0.46319444444444446</v>
      </c>
      <c r="J397" s="46" t="s">
        <v>17</v>
      </c>
      <c r="K397" s="51">
        <v>7.6</v>
      </c>
      <c r="L397" s="122" t="str">
        <f>IF(AND(Tabla_Ventas[[#This Row],[VENTA TOTAL]]&gt;=30,Tabla_Ventas[[#This Row],[TIPO DE CLIENTE/ Customer type]]="Member"),"PARTICIPA","NO PARTICIPA")</f>
        <v>PARTICIPA</v>
      </c>
    </row>
    <row r="398" spans="1:12" ht="19" x14ac:dyDescent="0.25">
      <c r="A398" s="45">
        <v>237446163</v>
      </c>
      <c r="B398" s="46" t="s">
        <v>19</v>
      </c>
      <c r="C398" s="46" t="s">
        <v>18</v>
      </c>
      <c r="D398" s="46" t="s">
        <v>21</v>
      </c>
      <c r="E398" s="49">
        <v>10.56</v>
      </c>
      <c r="F398" s="48">
        <v>8</v>
      </c>
      <c r="G398" s="78">
        <f t="shared" si="6"/>
        <v>84.48</v>
      </c>
      <c r="H398" s="120">
        <v>43489</v>
      </c>
      <c r="I398" s="50">
        <v>0.73819444444444438</v>
      </c>
      <c r="J398" s="46" t="s">
        <v>23</v>
      </c>
      <c r="K398" s="51">
        <v>7.6</v>
      </c>
      <c r="L398" s="122" t="str">
        <f>IF(AND(Tabla_Ventas[[#This Row],[VENTA TOTAL]]&gt;=30,Tabla_Ventas[[#This Row],[TIPO DE CLIENTE/ Customer type]]="Member"),"PARTICIPA","NO PARTICIPA")</f>
        <v>NO PARTICIPA</v>
      </c>
    </row>
    <row r="399" spans="1:12" ht="19" x14ac:dyDescent="0.25">
      <c r="A399" s="45">
        <v>548483156</v>
      </c>
      <c r="B399" s="46" t="s">
        <v>19</v>
      </c>
      <c r="C399" s="46" t="s">
        <v>13</v>
      </c>
      <c r="D399" s="46" t="s">
        <v>24</v>
      </c>
      <c r="E399" s="49">
        <v>83.34</v>
      </c>
      <c r="F399" s="48">
        <v>2</v>
      </c>
      <c r="G399" s="78">
        <f t="shared" si="6"/>
        <v>166.68</v>
      </c>
      <c r="H399" s="120">
        <v>43543</v>
      </c>
      <c r="I399" s="50">
        <v>0.56736111111111109</v>
      </c>
      <c r="J399" s="46" t="s">
        <v>23</v>
      </c>
      <c r="K399" s="51">
        <v>7.6</v>
      </c>
      <c r="L399" s="122" t="str">
        <f>IF(AND(Tabla_Ventas[[#This Row],[VENTA TOTAL]]&gt;=30,Tabla_Ventas[[#This Row],[TIPO DE CLIENTE/ Customer type]]="Member"),"PARTICIPA","NO PARTICIPA")</f>
        <v>PARTICIPA</v>
      </c>
    </row>
    <row r="400" spans="1:12" ht="19" x14ac:dyDescent="0.25">
      <c r="A400" s="45">
        <v>522578364</v>
      </c>
      <c r="B400" s="46" t="s">
        <v>19</v>
      </c>
      <c r="C400" s="46" t="s">
        <v>13</v>
      </c>
      <c r="D400" s="46" t="s">
        <v>22</v>
      </c>
      <c r="E400" s="49">
        <v>51.34</v>
      </c>
      <c r="F400" s="48">
        <v>8</v>
      </c>
      <c r="G400" s="78">
        <f t="shared" si="6"/>
        <v>410.72</v>
      </c>
      <c r="H400" s="120">
        <v>43496</v>
      </c>
      <c r="I400" s="50">
        <v>0.41666666666666669</v>
      </c>
      <c r="J400" s="46" t="s">
        <v>17</v>
      </c>
      <c r="K400" s="51">
        <v>7.6</v>
      </c>
      <c r="L400" s="122" t="str">
        <f>IF(AND(Tabla_Ventas[[#This Row],[VENTA TOTAL]]&gt;=30,Tabla_Ventas[[#This Row],[TIPO DE CLIENTE/ Customer type]]="Member"),"PARTICIPA","NO PARTICIPA")</f>
        <v>PARTICIPA</v>
      </c>
    </row>
    <row r="401" spans="1:12" ht="19" x14ac:dyDescent="0.25">
      <c r="A401" s="45">
        <v>431662305</v>
      </c>
      <c r="B401" s="46" t="s">
        <v>12</v>
      </c>
      <c r="C401" s="46" t="s">
        <v>18</v>
      </c>
      <c r="D401" s="46" t="s">
        <v>21</v>
      </c>
      <c r="E401" s="49">
        <v>88.25</v>
      </c>
      <c r="F401" s="48">
        <v>9</v>
      </c>
      <c r="G401" s="78">
        <f t="shared" si="6"/>
        <v>794.25</v>
      </c>
      <c r="H401" s="120">
        <v>43511</v>
      </c>
      <c r="I401" s="50">
        <v>0.86875000000000002</v>
      </c>
      <c r="J401" s="46" t="s">
        <v>15</v>
      </c>
      <c r="K401" s="51">
        <v>7.6</v>
      </c>
      <c r="L401" s="122" t="str">
        <f>IF(AND(Tabla_Ventas[[#This Row],[VENTA TOTAL]]&gt;=30,Tabla_Ventas[[#This Row],[TIPO DE CLIENTE/ Customer type]]="Member"),"PARTICIPA","NO PARTICIPA")</f>
        <v>NO PARTICIPA</v>
      </c>
    </row>
    <row r="402" spans="1:12" ht="19" x14ac:dyDescent="0.25">
      <c r="A402" s="45">
        <v>458108612</v>
      </c>
      <c r="B402" s="46" t="s">
        <v>16</v>
      </c>
      <c r="C402" s="46" t="s">
        <v>18</v>
      </c>
      <c r="D402" s="46" t="s">
        <v>20</v>
      </c>
      <c r="E402" s="49">
        <v>64.08</v>
      </c>
      <c r="F402" s="48">
        <v>7</v>
      </c>
      <c r="G402" s="78">
        <f t="shared" si="6"/>
        <v>448.56</v>
      </c>
      <c r="H402" s="120">
        <v>43485</v>
      </c>
      <c r="I402" s="50">
        <v>0.51874999999999993</v>
      </c>
      <c r="J402" s="46" t="s">
        <v>17</v>
      </c>
      <c r="K402" s="51">
        <v>7.6</v>
      </c>
      <c r="L402" s="122" t="str">
        <f>IF(AND(Tabla_Ventas[[#This Row],[VENTA TOTAL]]&gt;=30,Tabla_Ventas[[#This Row],[TIPO DE CLIENTE/ Customer type]]="Member"),"PARTICIPA","NO PARTICIPA")</f>
        <v>NO PARTICIPA</v>
      </c>
    </row>
    <row r="403" spans="1:12" ht="19" x14ac:dyDescent="0.25">
      <c r="A403" s="45">
        <v>784080310</v>
      </c>
      <c r="B403" s="46" t="s">
        <v>16</v>
      </c>
      <c r="C403" s="46" t="s">
        <v>13</v>
      </c>
      <c r="D403" s="46" t="s">
        <v>24</v>
      </c>
      <c r="E403" s="49">
        <v>21.04</v>
      </c>
      <c r="F403" s="48">
        <v>4</v>
      </c>
      <c r="G403" s="78">
        <f t="shared" si="6"/>
        <v>84.16</v>
      </c>
      <c r="H403" s="120">
        <v>43478</v>
      </c>
      <c r="I403" s="50">
        <v>0.58194444444444449</v>
      </c>
      <c r="J403" s="46" t="s">
        <v>23</v>
      </c>
      <c r="K403" s="51">
        <v>7.6</v>
      </c>
      <c r="L403" s="122" t="str">
        <f>IF(AND(Tabla_Ventas[[#This Row],[VENTA TOTAL]]&gt;=30,Tabla_Ventas[[#This Row],[TIPO DE CLIENTE/ Customer type]]="Member"),"PARTICIPA","NO PARTICIPA")</f>
        <v>PARTICIPA</v>
      </c>
    </row>
    <row r="404" spans="1:12" ht="19" x14ac:dyDescent="0.25">
      <c r="A404" s="45">
        <v>183566882</v>
      </c>
      <c r="B404" s="46" t="s">
        <v>12</v>
      </c>
      <c r="C404" s="46" t="s">
        <v>13</v>
      </c>
      <c r="D404" s="46" t="s">
        <v>24</v>
      </c>
      <c r="E404" s="47">
        <v>99.42</v>
      </c>
      <c r="F404" s="48">
        <v>4</v>
      </c>
      <c r="G404" s="78">
        <f t="shared" si="6"/>
        <v>397.68</v>
      </c>
      <c r="H404" s="120">
        <v>43618</v>
      </c>
      <c r="I404" s="50">
        <v>0.4458333333333333</v>
      </c>
      <c r="J404" s="46" t="s">
        <v>17</v>
      </c>
      <c r="K404" s="51">
        <v>7.5</v>
      </c>
      <c r="L404" s="122" t="str">
        <f>IF(AND(Tabla_Ventas[[#This Row],[VENTA TOTAL]]&gt;=30,Tabla_Ventas[[#This Row],[TIPO DE CLIENTE/ Customer type]]="Member"),"PARTICIPA","NO PARTICIPA")</f>
        <v>PARTICIPA</v>
      </c>
    </row>
    <row r="405" spans="1:12" ht="19" x14ac:dyDescent="0.25">
      <c r="A405" s="45">
        <v>191106171</v>
      </c>
      <c r="B405" s="46" t="s">
        <v>16</v>
      </c>
      <c r="C405" s="46" t="s">
        <v>18</v>
      </c>
      <c r="D405" s="46" t="s">
        <v>22</v>
      </c>
      <c r="E405" s="47">
        <v>39.619999999999997</v>
      </c>
      <c r="F405" s="48">
        <v>7</v>
      </c>
      <c r="G405" s="78">
        <f t="shared" si="6"/>
        <v>277.33999999999997</v>
      </c>
      <c r="H405" s="120">
        <v>43490</v>
      </c>
      <c r="I405" s="50">
        <v>0.5541666666666667</v>
      </c>
      <c r="J405" s="46" t="s">
        <v>23</v>
      </c>
      <c r="K405" s="51">
        <v>7.5</v>
      </c>
      <c r="L405" s="122" t="str">
        <f>IF(AND(Tabla_Ventas[[#This Row],[VENTA TOTAL]]&gt;=30,Tabla_Ventas[[#This Row],[TIPO DE CLIENTE/ Customer type]]="Member"),"PARTICIPA","NO PARTICIPA")</f>
        <v>NO PARTICIPA</v>
      </c>
    </row>
    <row r="406" spans="1:12" ht="19" x14ac:dyDescent="0.25">
      <c r="A406" s="45">
        <v>305140245</v>
      </c>
      <c r="B406" s="46" t="s">
        <v>16</v>
      </c>
      <c r="C406" s="46" t="s">
        <v>13</v>
      </c>
      <c r="D406" s="46" t="s">
        <v>25</v>
      </c>
      <c r="E406" s="47">
        <v>94.49</v>
      </c>
      <c r="F406" s="48">
        <v>8</v>
      </c>
      <c r="G406" s="78">
        <f t="shared" si="6"/>
        <v>755.92</v>
      </c>
      <c r="H406" s="120">
        <v>43527</v>
      </c>
      <c r="I406" s="50">
        <v>0.79166666666666663</v>
      </c>
      <c r="J406" s="46" t="s">
        <v>17</v>
      </c>
      <c r="K406" s="51">
        <v>7.5</v>
      </c>
      <c r="L406" s="122" t="str">
        <f>IF(AND(Tabla_Ventas[[#This Row],[VENTA TOTAL]]&gt;=30,Tabla_Ventas[[#This Row],[TIPO DE CLIENTE/ Customer type]]="Member"),"PARTICIPA","NO PARTICIPA")</f>
        <v>PARTICIPA</v>
      </c>
    </row>
    <row r="407" spans="1:12" ht="19" x14ac:dyDescent="0.25">
      <c r="A407" s="45">
        <v>211050490</v>
      </c>
      <c r="B407" s="46" t="s">
        <v>12</v>
      </c>
      <c r="C407" s="46" t="s">
        <v>13</v>
      </c>
      <c r="D407" s="46" t="s">
        <v>21</v>
      </c>
      <c r="E407" s="47">
        <v>51.92</v>
      </c>
      <c r="F407" s="48">
        <v>5</v>
      </c>
      <c r="G407" s="78">
        <f t="shared" si="6"/>
        <v>259.60000000000002</v>
      </c>
      <c r="H407" s="120">
        <v>43527</v>
      </c>
      <c r="I407" s="50">
        <v>0.5708333333333333</v>
      </c>
      <c r="J407" s="46" t="s">
        <v>23</v>
      </c>
      <c r="K407" s="51">
        <v>7.5</v>
      </c>
      <c r="L407" s="122" t="str">
        <f>IF(AND(Tabla_Ventas[[#This Row],[VENTA TOTAL]]&gt;=30,Tabla_Ventas[[#This Row],[TIPO DE CLIENTE/ Customer type]]="Member"),"PARTICIPA","NO PARTICIPA")</f>
        <v>PARTICIPA</v>
      </c>
    </row>
    <row r="408" spans="1:12" ht="19" x14ac:dyDescent="0.25">
      <c r="A408" s="45">
        <v>898042717</v>
      </c>
      <c r="B408" s="46" t="s">
        <v>19</v>
      </c>
      <c r="C408" s="46" t="s">
        <v>18</v>
      </c>
      <c r="D408" s="46" t="s">
        <v>22</v>
      </c>
      <c r="E408" s="47">
        <v>76.400000000000006</v>
      </c>
      <c r="F408" s="48">
        <v>9</v>
      </c>
      <c r="G408" s="78">
        <f t="shared" si="6"/>
        <v>687.6</v>
      </c>
      <c r="H408" s="120">
        <v>43543</v>
      </c>
      <c r="I408" s="50">
        <v>0.65902777777777777</v>
      </c>
      <c r="J408" s="46" t="s">
        <v>17</v>
      </c>
      <c r="K408" s="51">
        <v>7.5</v>
      </c>
      <c r="L408" s="122" t="str">
        <f>IF(AND(Tabla_Ventas[[#This Row],[VENTA TOTAL]]&gt;=30,Tabla_Ventas[[#This Row],[TIPO DE CLIENTE/ Customer type]]="Member"),"PARTICIPA","NO PARTICIPA")</f>
        <v>NO PARTICIPA</v>
      </c>
    </row>
    <row r="409" spans="1:12" ht="19" x14ac:dyDescent="0.25">
      <c r="A409" s="45">
        <v>289157034</v>
      </c>
      <c r="B409" s="46" t="s">
        <v>19</v>
      </c>
      <c r="C409" s="46" t="s">
        <v>13</v>
      </c>
      <c r="D409" s="46" t="s">
        <v>14</v>
      </c>
      <c r="E409" s="47">
        <v>82.33</v>
      </c>
      <c r="F409" s="48">
        <v>4</v>
      </c>
      <c r="G409" s="78">
        <f t="shared" si="6"/>
        <v>329.32</v>
      </c>
      <c r="H409" s="120">
        <v>43770</v>
      </c>
      <c r="I409" s="50">
        <v>0.44236111111111115</v>
      </c>
      <c r="J409" s="46" t="s">
        <v>15</v>
      </c>
      <c r="K409" s="51">
        <v>7.5</v>
      </c>
      <c r="L409" s="122" t="str">
        <f>IF(AND(Tabla_Ventas[[#This Row],[VENTA TOTAL]]&gt;=30,Tabla_Ventas[[#This Row],[TIPO DE CLIENTE/ Customer type]]="Member"),"PARTICIPA","NO PARTICIPA")</f>
        <v>PARTICIPA</v>
      </c>
    </row>
    <row r="410" spans="1:12" ht="19" x14ac:dyDescent="0.25">
      <c r="A410" s="45">
        <v>266766436</v>
      </c>
      <c r="B410" s="46" t="s">
        <v>12</v>
      </c>
      <c r="C410" s="46" t="s">
        <v>13</v>
      </c>
      <c r="D410" s="46" t="s">
        <v>24</v>
      </c>
      <c r="E410" s="47">
        <v>38.6</v>
      </c>
      <c r="F410" s="48">
        <v>3</v>
      </c>
      <c r="G410" s="78">
        <f t="shared" si="6"/>
        <v>115.80000000000001</v>
      </c>
      <c r="H410" s="120">
        <v>43552</v>
      </c>
      <c r="I410" s="50">
        <v>0.58124999999999993</v>
      </c>
      <c r="J410" s="46" t="s">
        <v>17</v>
      </c>
      <c r="K410" s="51">
        <v>7.5</v>
      </c>
      <c r="L410" s="122" t="str">
        <f>IF(AND(Tabla_Ventas[[#This Row],[VENTA TOTAL]]&gt;=30,Tabla_Ventas[[#This Row],[TIPO DE CLIENTE/ Customer type]]="Member"),"PARTICIPA","NO PARTICIPA")</f>
        <v>PARTICIPA</v>
      </c>
    </row>
    <row r="411" spans="1:12" ht="19" x14ac:dyDescent="0.25">
      <c r="A411" s="45">
        <v>856662701</v>
      </c>
      <c r="B411" s="46" t="s">
        <v>19</v>
      </c>
      <c r="C411" s="46" t="s">
        <v>13</v>
      </c>
      <c r="D411" s="46" t="s">
        <v>25</v>
      </c>
      <c r="E411" s="49">
        <v>53.3</v>
      </c>
      <c r="F411" s="48">
        <v>3</v>
      </c>
      <c r="G411" s="78">
        <f t="shared" si="6"/>
        <v>159.89999999999998</v>
      </c>
      <c r="H411" s="120">
        <v>43490</v>
      </c>
      <c r="I411" s="50">
        <v>0.59652777777777777</v>
      </c>
      <c r="J411" s="46" t="s">
        <v>17</v>
      </c>
      <c r="K411" s="51">
        <v>7.5</v>
      </c>
      <c r="L411" s="122" t="str">
        <f>IF(AND(Tabla_Ventas[[#This Row],[VENTA TOTAL]]&gt;=30,Tabla_Ventas[[#This Row],[TIPO DE CLIENTE/ Customer type]]="Member"),"PARTICIPA","NO PARTICIPA")</f>
        <v>PARTICIPA</v>
      </c>
    </row>
    <row r="412" spans="1:12" ht="19" x14ac:dyDescent="0.25">
      <c r="A412" s="45">
        <v>665639737</v>
      </c>
      <c r="B412" s="46" t="s">
        <v>12</v>
      </c>
      <c r="C412" s="46" t="s">
        <v>18</v>
      </c>
      <c r="D412" s="46" t="s">
        <v>22</v>
      </c>
      <c r="E412" s="49">
        <v>52.42</v>
      </c>
      <c r="F412" s="48">
        <v>3</v>
      </c>
      <c r="G412" s="78">
        <f t="shared" si="6"/>
        <v>157.26</v>
      </c>
      <c r="H412" s="120">
        <v>43523</v>
      </c>
      <c r="I412" s="50">
        <v>0.73333333333333339</v>
      </c>
      <c r="J412" s="46" t="s">
        <v>17</v>
      </c>
      <c r="K412" s="51">
        <v>7.5</v>
      </c>
      <c r="L412" s="122" t="str">
        <f>IF(AND(Tabla_Ventas[[#This Row],[VENTA TOTAL]]&gt;=30,Tabla_Ventas[[#This Row],[TIPO DE CLIENTE/ Customer type]]="Member"),"PARTICIPA","NO PARTICIPA")</f>
        <v>NO PARTICIPA</v>
      </c>
    </row>
    <row r="413" spans="1:12" ht="19" x14ac:dyDescent="0.25">
      <c r="A413" s="45">
        <v>305032383</v>
      </c>
      <c r="B413" s="46" t="s">
        <v>19</v>
      </c>
      <c r="C413" s="46" t="s">
        <v>18</v>
      </c>
      <c r="D413" s="46" t="s">
        <v>24</v>
      </c>
      <c r="E413" s="49">
        <v>67.099999999999994</v>
      </c>
      <c r="F413" s="48">
        <v>3</v>
      </c>
      <c r="G413" s="78">
        <f t="shared" si="6"/>
        <v>201.29999999999998</v>
      </c>
      <c r="H413" s="120">
        <v>43511</v>
      </c>
      <c r="I413" s="50">
        <v>0.44166666666666665</v>
      </c>
      <c r="J413" s="46" t="s">
        <v>23</v>
      </c>
      <c r="K413" s="51">
        <v>7.5</v>
      </c>
      <c r="L413" s="122" t="str">
        <f>IF(AND(Tabla_Ventas[[#This Row],[VENTA TOTAL]]&gt;=30,Tabla_Ventas[[#This Row],[TIPO DE CLIENTE/ Customer type]]="Member"),"PARTICIPA","NO PARTICIPA")</f>
        <v>NO PARTICIPA</v>
      </c>
    </row>
    <row r="414" spans="1:12" ht="19" x14ac:dyDescent="0.25">
      <c r="A414" s="45">
        <v>291556563</v>
      </c>
      <c r="B414" s="46" t="s">
        <v>19</v>
      </c>
      <c r="C414" s="46" t="s">
        <v>13</v>
      </c>
      <c r="D414" s="46" t="s">
        <v>25</v>
      </c>
      <c r="E414" s="49">
        <v>34.42</v>
      </c>
      <c r="F414" s="48">
        <v>6</v>
      </c>
      <c r="G414" s="78">
        <f t="shared" si="6"/>
        <v>206.52</v>
      </c>
      <c r="H414" s="120">
        <v>43554</v>
      </c>
      <c r="I414" s="50">
        <v>0.53125</v>
      </c>
      <c r="J414" s="46" t="s">
        <v>17</v>
      </c>
      <c r="K414" s="51">
        <v>7.5</v>
      </c>
      <c r="L414" s="122" t="str">
        <f>IF(AND(Tabla_Ventas[[#This Row],[VENTA TOTAL]]&gt;=30,Tabla_Ventas[[#This Row],[TIPO DE CLIENTE/ Customer type]]="Member"),"PARTICIPA","NO PARTICIPA")</f>
        <v>PARTICIPA</v>
      </c>
    </row>
    <row r="415" spans="1:12" ht="19" x14ac:dyDescent="0.25">
      <c r="A415" s="45">
        <v>377797592</v>
      </c>
      <c r="B415" s="46" t="s">
        <v>16</v>
      </c>
      <c r="C415" s="46" t="s">
        <v>13</v>
      </c>
      <c r="D415" s="46" t="s">
        <v>21</v>
      </c>
      <c r="E415" s="49">
        <v>44.84</v>
      </c>
      <c r="F415" s="48">
        <v>9</v>
      </c>
      <c r="G415" s="78">
        <f t="shared" si="6"/>
        <v>403.56000000000006</v>
      </c>
      <c r="H415" s="120">
        <v>43479</v>
      </c>
      <c r="I415" s="50">
        <v>0.58333333333333337</v>
      </c>
      <c r="J415" s="46" t="s">
        <v>15</v>
      </c>
      <c r="K415" s="51">
        <v>7.5</v>
      </c>
      <c r="L415" s="122" t="str">
        <f>IF(AND(Tabla_Ventas[[#This Row],[VENTA TOTAL]]&gt;=30,Tabla_Ventas[[#This Row],[TIPO DE CLIENTE/ Customer type]]="Member"),"PARTICIPA","NO PARTICIPA")</f>
        <v>PARTICIPA</v>
      </c>
    </row>
    <row r="416" spans="1:12" ht="19" x14ac:dyDescent="0.25">
      <c r="A416" s="45">
        <v>433087822</v>
      </c>
      <c r="B416" s="46" t="s">
        <v>16</v>
      </c>
      <c r="C416" s="46" t="s">
        <v>18</v>
      </c>
      <c r="D416" s="46" t="s">
        <v>20</v>
      </c>
      <c r="E416" s="49">
        <v>78.89</v>
      </c>
      <c r="F416" s="48">
        <v>7</v>
      </c>
      <c r="G416" s="78">
        <f t="shared" si="6"/>
        <v>552.23</v>
      </c>
      <c r="H416" s="120">
        <v>43470</v>
      </c>
      <c r="I416" s="50">
        <v>0.82500000000000007</v>
      </c>
      <c r="J416" s="46" t="s">
        <v>17</v>
      </c>
      <c r="K416" s="51">
        <v>7.5</v>
      </c>
      <c r="L416" s="122" t="str">
        <f>IF(AND(Tabla_Ventas[[#This Row],[VENTA TOTAL]]&gt;=30,Tabla_Ventas[[#This Row],[TIPO DE CLIENTE/ Customer type]]="Member"),"PARTICIPA","NO PARTICIPA")</f>
        <v>NO PARTICIPA</v>
      </c>
    </row>
    <row r="417" spans="1:12" ht="19" x14ac:dyDescent="0.25">
      <c r="A417" s="45">
        <v>631413108</v>
      </c>
      <c r="B417" s="46" t="s">
        <v>19</v>
      </c>
      <c r="C417" s="46" t="s">
        <v>18</v>
      </c>
      <c r="D417" s="46" t="s">
        <v>25</v>
      </c>
      <c r="E417" s="47">
        <v>46.33</v>
      </c>
      <c r="F417" s="48">
        <v>7</v>
      </c>
      <c r="G417" s="78">
        <f t="shared" si="6"/>
        <v>324.31</v>
      </c>
      <c r="H417" s="120">
        <v>43527</v>
      </c>
      <c r="I417" s="50">
        <v>0.55763888888888891</v>
      </c>
      <c r="J417" s="46" t="s">
        <v>15</v>
      </c>
      <c r="K417" s="51">
        <v>7.4</v>
      </c>
      <c r="L417" s="122" t="str">
        <f>IF(AND(Tabla_Ventas[[#This Row],[VENTA TOTAL]]&gt;=30,Tabla_Ventas[[#This Row],[TIPO DE CLIENTE/ Customer type]]="Member"),"PARTICIPA","NO PARTICIPA")</f>
        <v>NO PARTICIPA</v>
      </c>
    </row>
    <row r="418" spans="1:12" ht="19" x14ac:dyDescent="0.25">
      <c r="A418" s="45">
        <v>848627243</v>
      </c>
      <c r="B418" s="46" t="s">
        <v>19</v>
      </c>
      <c r="C418" s="46" t="s">
        <v>18</v>
      </c>
      <c r="D418" s="46" t="s">
        <v>20</v>
      </c>
      <c r="E418" s="47">
        <v>24.89</v>
      </c>
      <c r="F418" s="48">
        <v>9</v>
      </c>
      <c r="G418" s="78">
        <f t="shared" si="6"/>
        <v>224.01</v>
      </c>
      <c r="H418" s="120">
        <v>43539</v>
      </c>
      <c r="I418" s="50">
        <v>0.65</v>
      </c>
      <c r="J418" s="46" t="s">
        <v>23</v>
      </c>
      <c r="K418" s="51">
        <v>7.4</v>
      </c>
      <c r="L418" s="122" t="str">
        <f>IF(AND(Tabla_Ventas[[#This Row],[VENTA TOTAL]]&gt;=30,Tabla_Ventas[[#This Row],[TIPO DE CLIENTE/ Customer type]]="Member"),"PARTICIPA","NO PARTICIPA")</f>
        <v>NO PARTICIPA</v>
      </c>
    </row>
    <row r="419" spans="1:12" ht="19" x14ac:dyDescent="0.25">
      <c r="A419" s="45">
        <v>733019107</v>
      </c>
      <c r="B419" s="46" t="s">
        <v>16</v>
      </c>
      <c r="C419" s="46" t="s">
        <v>18</v>
      </c>
      <c r="D419" s="46" t="s">
        <v>25</v>
      </c>
      <c r="E419" s="47">
        <v>82.7</v>
      </c>
      <c r="F419" s="48">
        <v>6</v>
      </c>
      <c r="G419" s="78">
        <f t="shared" si="6"/>
        <v>496.20000000000005</v>
      </c>
      <c r="H419" s="120">
        <v>43529</v>
      </c>
      <c r="I419" s="50">
        <v>0.7597222222222223</v>
      </c>
      <c r="J419" s="46" t="s">
        <v>23</v>
      </c>
      <c r="K419" s="51">
        <v>7.4</v>
      </c>
      <c r="L419" s="122" t="str">
        <f>IF(AND(Tabla_Ventas[[#This Row],[VENTA TOTAL]]&gt;=30,Tabla_Ventas[[#This Row],[TIPO DE CLIENTE/ Customer type]]="Member"),"PARTICIPA","NO PARTICIPA")</f>
        <v>NO PARTICIPA</v>
      </c>
    </row>
    <row r="420" spans="1:12" ht="19" x14ac:dyDescent="0.25">
      <c r="A420" s="45">
        <v>630745166</v>
      </c>
      <c r="B420" s="46" t="s">
        <v>19</v>
      </c>
      <c r="C420" s="46" t="s">
        <v>18</v>
      </c>
      <c r="D420" s="46" t="s">
        <v>14</v>
      </c>
      <c r="E420" s="47">
        <v>62.13</v>
      </c>
      <c r="F420" s="48">
        <v>6</v>
      </c>
      <c r="G420" s="78">
        <f t="shared" si="6"/>
        <v>372.78000000000003</v>
      </c>
      <c r="H420" s="120">
        <v>43519</v>
      </c>
      <c r="I420" s="50">
        <v>0.84652777777777777</v>
      </c>
      <c r="J420" s="46" t="s">
        <v>23</v>
      </c>
      <c r="K420" s="51">
        <v>7.4</v>
      </c>
      <c r="L420" s="122" t="str">
        <f>IF(AND(Tabla_Ventas[[#This Row],[VENTA TOTAL]]&gt;=30,Tabla_Ventas[[#This Row],[TIPO DE CLIENTE/ Customer type]]="Member"),"PARTICIPA","NO PARTICIPA")</f>
        <v>NO PARTICIPA</v>
      </c>
    </row>
    <row r="421" spans="1:12" ht="19" x14ac:dyDescent="0.25">
      <c r="A421" s="45">
        <v>695510018</v>
      </c>
      <c r="B421" s="46" t="s">
        <v>16</v>
      </c>
      <c r="C421" s="46" t="s">
        <v>18</v>
      </c>
      <c r="D421" s="46" t="s">
        <v>14</v>
      </c>
      <c r="E421" s="47">
        <v>34.840000000000003</v>
      </c>
      <c r="F421" s="48">
        <v>4</v>
      </c>
      <c r="G421" s="78">
        <f t="shared" si="6"/>
        <v>139.36000000000001</v>
      </c>
      <c r="H421" s="120">
        <v>43506</v>
      </c>
      <c r="I421" s="50">
        <v>0.77500000000000002</v>
      </c>
      <c r="J421" s="46" t="s">
        <v>23</v>
      </c>
      <c r="K421" s="51">
        <v>7.4</v>
      </c>
      <c r="L421" s="122" t="str">
        <f>IF(AND(Tabla_Ventas[[#This Row],[VENTA TOTAL]]&gt;=30,Tabla_Ventas[[#This Row],[TIPO DE CLIENTE/ Customer type]]="Member"),"PARTICIPA","NO PARTICIPA")</f>
        <v>NO PARTICIPA</v>
      </c>
    </row>
    <row r="422" spans="1:12" ht="19" x14ac:dyDescent="0.25">
      <c r="A422" s="45">
        <v>746940204</v>
      </c>
      <c r="B422" s="46" t="s">
        <v>19</v>
      </c>
      <c r="C422" s="46" t="s">
        <v>18</v>
      </c>
      <c r="D422" s="46" t="s">
        <v>22</v>
      </c>
      <c r="E422" s="47">
        <v>83.24</v>
      </c>
      <c r="F422" s="48">
        <v>9</v>
      </c>
      <c r="G422" s="78">
        <f t="shared" si="6"/>
        <v>749.16</v>
      </c>
      <c r="H422" s="120">
        <v>43494</v>
      </c>
      <c r="I422" s="50">
        <v>0.49722222222222223</v>
      </c>
      <c r="J422" s="46" t="s">
        <v>15</v>
      </c>
      <c r="K422" s="51">
        <v>7.4</v>
      </c>
      <c r="L422" s="122" t="str">
        <f>IF(AND(Tabla_Ventas[[#This Row],[VENTA TOTAL]]&gt;=30,Tabla_Ventas[[#This Row],[TIPO DE CLIENTE/ Customer type]]="Member"),"PARTICIPA","NO PARTICIPA")</f>
        <v>NO PARTICIPA</v>
      </c>
    </row>
    <row r="423" spans="1:12" ht="19" x14ac:dyDescent="0.25">
      <c r="A423" s="45">
        <v>721866247</v>
      </c>
      <c r="B423" s="46" t="s">
        <v>19</v>
      </c>
      <c r="C423" s="46" t="s">
        <v>18</v>
      </c>
      <c r="D423" s="46" t="s">
        <v>25</v>
      </c>
      <c r="E423" s="47">
        <v>63.42</v>
      </c>
      <c r="F423" s="48">
        <v>8</v>
      </c>
      <c r="G423" s="78">
        <f t="shared" si="6"/>
        <v>507.36</v>
      </c>
      <c r="H423" s="120">
        <v>43478</v>
      </c>
      <c r="I423" s="50">
        <v>0.53819444444444442</v>
      </c>
      <c r="J423" s="46" t="s">
        <v>17</v>
      </c>
      <c r="K423" s="51">
        <v>7.4</v>
      </c>
      <c r="L423" s="122" t="str">
        <f>IF(AND(Tabla_Ventas[[#This Row],[VENTA TOTAL]]&gt;=30,Tabla_Ventas[[#This Row],[TIPO DE CLIENTE/ Customer type]]="Member"),"PARTICIPA","NO PARTICIPA")</f>
        <v>NO PARTICIPA</v>
      </c>
    </row>
    <row r="424" spans="1:12" ht="19" x14ac:dyDescent="0.25">
      <c r="A424" s="45">
        <v>612365536</v>
      </c>
      <c r="B424" s="46" t="s">
        <v>19</v>
      </c>
      <c r="C424" s="46" t="s">
        <v>13</v>
      </c>
      <c r="D424" s="46" t="s">
        <v>24</v>
      </c>
      <c r="E424" s="47">
        <v>80.959999999999994</v>
      </c>
      <c r="F424" s="48">
        <v>8</v>
      </c>
      <c r="G424" s="78">
        <f t="shared" si="6"/>
        <v>647.67999999999995</v>
      </c>
      <c r="H424" s="120">
        <v>43513</v>
      </c>
      <c r="I424" s="50">
        <v>0.46666666666666662</v>
      </c>
      <c r="J424" s="46" t="s">
        <v>15</v>
      </c>
      <c r="K424" s="51">
        <v>7.4</v>
      </c>
      <c r="L424" s="122" t="str">
        <f>IF(AND(Tabla_Ventas[[#This Row],[VENTA TOTAL]]&gt;=30,Tabla_Ventas[[#This Row],[TIPO DE CLIENTE/ Customer type]]="Member"),"PARTICIPA","NO PARTICIPA")</f>
        <v>PARTICIPA</v>
      </c>
    </row>
    <row r="425" spans="1:12" ht="19" x14ac:dyDescent="0.25">
      <c r="A425" s="45">
        <v>583414548</v>
      </c>
      <c r="B425" s="46" t="s">
        <v>12</v>
      </c>
      <c r="C425" s="46" t="s">
        <v>18</v>
      </c>
      <c r="D425" s="46" t="s">
        <v>25</v>
      </c>
      <c r="E425" s="47">
        <v>16.670000000000002</v>
      </c>
      <c r="F425" s="48">
        <v>7</v>
      </c>
      <c r="G425" s="78">
        <f t="shared" si="6"/>
        <v>116.69000000000001</v>
      </c>
      <c r="H425" s="120">
        <v>43503</v>
      </c>
      <c r="I425" s="50">
        <v>0.48333333333333334</v>
      </c>
      <c r="J425" s="46" t="s">
        <v>17</v>
      </c>
      <c r="K425" s="51">
        <v>7.4</v>
      </c>
      <c r="L425" s="122" t="str">
        <f>IF(AND(Tabla_Ventas[[#This Row],[VENTA TOTAL]]&gt;=30,Tabla_Ventas[[#This Row],[TIPO DE CLIENTE/ Customer type]]="Member"),"PARTICIPA","NO PARTICIPA")</f>
        <v>NO PARTICIPA</v>
      </c>
    </row>
    <row r="426" spans="1:12" ht="19" x14ac:dyDescent="0.25">
      <c r="A426" s="45">
        <v>778897974</v>
      </c>
      <c r="B426" s="46" t="s">
        <v>16</v>
      </c>
      <c r="C426" s="46" t="s">
        <v>18</v>
      </c>
      <c r="D426" s="46" t="s">
        <v>20</v>
      </c>
      <c r="E426" s="49">
        <v>70.209999999999994</v>
      </c>
      <c r="F426" s="48">
        <v>6</v>
      </c>
      <c r="G426" s="78">
        <f t="shared" si="6"/>
        <v>421.26</v>
      </c>
      <c r="H426" s="120">
        <v>43554</v>
      </c>
      <c r="I426" s="50">
        <v>0.62361111111111112</v>
      </c>
      <c r="J426" s="46" t="s">
        <v>23</v>
      </c>
      <c r="K426" s="51">
        <v>7.4</v>
      </c>
      <c r="L426" s="122" t="str">
        <f>IF(AND(Tabla_Ventas[[#This Row],[VENTA TOTAL]]&gt;=30,Tabla_Ventas[[#This Row],[TIPO DE CLIENTE/ Customer type]]="Member"),"PARTICIPA","NO PARTICIPA")</f>
        <v>NO PARTICIPA</v>
      </c>
    </row>
    <row r="427" spans="1:12" ht="19" x14ac:dyDescent="0.25">
      <c r="A427" s="45">
        <v>592461692</v>
      </c>
      <c r="B427" s="46" t="s">
        <v>16</v>
      </c>
      <c r="C427" s="46" t="s">
        <v>13</v>
      </c>
      <c r="D427" s="46" t="s">
        <v>24</v>
      </c>
      <c r="E427" s="49">
        <v>36.770000000000003</v>
      </c>
      <c r="F427" s="48">
        <v>7</v>
      </c>
      <c r="G427" s="78">
        <f t="shared" si="6"/>
        <v>257.39000000000004</v>
      </c>
      <c r="H427" s="120">
        <v>43476</v>
      </c>
      <c r="I427" s="50">
        <v>0.84027777777777779</v>
      </c>
      <c r="J427" s="46" t="s">
        <v>23</v>
      </c>
      <c r="K427" s="51">
        <v>7.4</v>
      </c>
      <c r="L427" s="122" t="str">
        <f>IF(AND(Tabla_Ventas[[#This Row],[VENTA TOTAL]]&gt;=30,Tabla_Ventas[[#This Row],[TIPO DE CLIENTE/ Customer type]]="Member"),"PARTICIPA","NO PARTICIPA")</f>
        <v>PARTICIPA</v>
      </c>
    </row>
    <row r="428" spans="1:12" ht="19" x14ac:dyDescent="0.25">
      <c r="A428" s="45">
        <v>434359162</v>
      </c>
      <c r="B428" s="46" t="s">
        <v>12</v>
      </c>
      <c r="C428" s="46" t="s">
        <v>13</v>
      </c>
      <c r="D428" s="46" t="s">
        <v>24</v>
      </c>
      <c r="E428" s="49">
        <v>23.34</v>
      </c>
      <c r="F428" s="48">
        <v>4</v>
      </c>
      <c r="G428" s="78">
        <f t="shared" si="6"/>
        <v>93.36</v>
      </c>
      <c r="H428" s="120">
        <v>43500</v>
      </c>
      <c r="I428" s="50">
        <v>0.78680555555555554</v>
      </c>
      <c r="J428" s="46" t="s">
        <v>17</v>
      </c>
      <c r="K428" s="51">
        <v>7.4</v>
      </c>
      <c r="L428" s="122" t="str">
        <f>IF(AND(Tabla_Ventas[[#This Row],[VENTA TOTAL]]&gt;=30,Tabla_Ventas[[#This Row],[TIPO DE CLIENTE/ Customer type]]="Member"),"PARTICIPA","NO PARTICIPA")</f>
        <v>PARTICIPA</v>
      </c>
    </row>
    <row r="429" spans="1:12" ht="19" x14ac:dyDescent="0.25">
      <c r="A429" s="45">
        <v>288383758</v>
      </c>
      <c r="B429" s="46" t="s">
        <v>16</v>
      </c>
      <c r="C429" s="46" t="s">
        <v>13</v>
      </c>
      <c r="D429" s="46" t="s">
        <v>22</v>
      </c>
      <c r="E429" s="49">
        <v>84.87</v>
      </c>
      <c r="F429" s="48">
        <v>3</v>
      </c>
      <c r="G429" s="78">
        <f t="shared" si="6"/>
        <v>254.61</v>
      </c>
      <c r="H429" s="120">
        <v>43490</v>
      </c>
      <c r="I429" s="50">
        <v>0.77083333333333337</v>
      </c>
      <c r="J429" s="46" t="s">
        <v>17</v>
      </c>
      <c r="K429" s="51">
        <v>7.4</v>
      </c>
      <c r="L429" s="122" t="str">
        <f>IF(AND(Tabla_Ventas[[#This Row],[VENTA TOTAL]]&gt;=30,Tabla_Ventas[[#This Row],[TIPO DE CLIENTE/ Customer type]]="Member"),"PARTICIPA","NO PARTICIPA")</f>
        <v>PARTICIPA</v>
      </c>
    </row>
    <row r="430" spans="1:12" ht="19" x14ac:dyDescent="0.25">
      <c r="A430" s="45">
        <v>361852571</v>
      </c>
      <c r="B430" s="46" t="s">
        <v>19</v>
      </c>
      <c r="C430" s="46" t="s">
        <v>18</v>
      </c>
      <c r="D430" s="46" t="s">
        <v>14</v>
      </c>
      <c r="E430" s="49">
        <v>89.48</v>
      </c>
      <c r="F430" s="48">
        <v>5</v>
      </c>
      <c r="G430" s="78">
        <f t="shared" si="6"/>
        <v>447.40000000000003</v>
      </c>
      <c r="H430" s="120">
        <v>43554</v>
      </c>
      <c r="I430" s="50">
        <v>0.4291666666666667</v>
      </c>
      <c r="J430" s="46" t="s">
        <v>23</v>
      </c>
      <c r="K430" s="51">
        <v>7.4</v>
      </c>
      <c r="L430" s="122" t="str">
        <f>IF(AND(Tabla_Ventas[[#This Row],[VENTA TOTAL]]&gt;=30,Tabla_Ventas[[#This Row],[TIPO DE CLIENTE/ Customer type]]="Member"),"PARTICIPA","NO PARTICIPA")</f>
        <v>NO PARTICIPA</v>
      </c>
    </row>
    <row r="431" spans="1:12" ht="19" x14ac:dyDescent="0.25">
      <c r="A431" s="45">
        <v>593085916</v>
      </c>
      <c r="B431" s="46" t="s">
        <v>19</v>
      </c>
      <c r="C431" s="46" t="s">
        <v>18</v>
      </c>
      <c r="D431" s="46" t="s">
        <v>22</v>
      </c>
      <c r="E431" s="49">
        <v>15.5</v>
      </c>
      <c r="F431" s="48">
        <v>1</v>
      </c>
      <c r="G431" s="78">
        <f t="shared" si="6"/>
        <v>15.5</v>
      </c>
      <c r="H431" s="120">
        <v>43543</v>
      </c>
      <c r="I431" s="50">
        <v>0.64097222222222217</v>
      </c>
      <c r="J431" s="46" t="s">
        <v>15</v>
      </c>
      <c r="K431" s="51">
        <v>7.4</v>
      </c>
      <c r="L431" s="122" t="str">
        <f>IF(AND(Tabla_Ventas[[#This Row],[VENTA TOTAL]]&gt;=30,Tabla_Ventas[[#This Row],[TIPO DE CLIENTE/ Customer type]]="Member"),"PARTICIPA","NO PARTICIPA")</f>
        <v>NO PARTICIPA</v>
      </c>
    </row>
    <row r="432" spans="1:12" ht="19" x14ac:dyDescent="0.25">
      <c r="A432" s="45">
        <v>139324183</v>
      </c>
      <c r="B432" s="46" t="s">
        <v>19</v>
      </c>
      <c r="C432" s="46" t="s">
        <v>13</v>
      </c>
      <c r="D432" s="46" t="s">
        <v>14</v>
      </c>
      <c r="E432" s="49">
        <v>97.48</v>
      </c>
      <c r="F432" s="48">
        <v>9</v>
      </c>
      <c r="G432" s="78">
        <f t="shared" si="6"/>
        <v>877.32</v>
      </c>
      <c r="H432" s="120">
        <v>43538</v>
      </c>
      <c r="I432" s="50">
        <v>0.59652777777777777</v>
      </c>
      <c r="J432" s="46" t="s">
        <v>17</v>
      </c>
      <c r="K432" s="51">
        <v>7.4</v>
      </c>
      <c r="L432" s="122" t="str">
        <f>IF(AND(Tabla_Ventas[[#This Row],[VENTA TOTAL]]&gt;=30,Tabla_Ventas[[#This Row],[TIPO DE CLIENTE/ Customer type]]="Member"),"PARTICIPA","NO PARTICIPA")</f>
        <v>PARTICIPA</v>
      </c>
    </row>
    <row r="433" spans="1:12" ht="19" x14ac:dyDescent="0.25">
      <c r="A433" s="45">
        <v>633448566</v>
      </c>
      <c r="B433" s="46" t="s">
        <v>19</v>
      </c>
      <c r="C433" s="46" t="s">
        <v>13</v>
      </c>
      <c r="D433" s="46" t="s">
        <v>24</v>
      </c>
      <c r="E433" s="47">
        <v>49.38</v>
      </c>
      <c r="F433" s="48">
        <v>7</v>
      </c>
      <c r="G433" s="78">
        <f t="shared" si="6"/>
        <v>345.66</v>
      </c>
      <c r="H433" s="120">
        <v>43551</v>
      </c>
      <c r="I433" s="50">
        <v>0.85763888888888884</v>
      </c>
      <c r="J433" s="46" t="s">
        <v>15</v>
      </c>
      <c r="K433" s="51">
        <v>7.3</v>
      </c>
      <c r="L433" s="122" t="str">
        <f>IF(AND(Tabla_Ventas[[#This Row],[VENTA TOTAL]]&gt;=30,Tabla_Ventas[[#This Row],[TIPO DE CLIENTE/ Customer type]]="Member"),"PARTICIPA","NO PARTICIPA")</f>
        <v>PARTICIPA</v>
      </c>
    </row>
    <row r="434" spans="1:12" ht="19" x14ac:dyDescent="0.25">
      <c r="A434" s="45">
        <v>704483927</v>
      </c>
      <c r="B434" s="46" t="s">
        <v>19</v>
      </c>
      <c r="C434" s="46" t="s">
        <v>13</v>
      </c>
      <c r="D434" s="46" t="s">
        <v>21</v>
      </c>
      <c r="E434" s="47">
        <v>88.67</v>
      </c>
      <c r="F434" s="48">
        <v>10</v>
      </c>
      <c r="G434" s="78">
        <f t="shared" si="6"/>
        <v>886.7</v>
      </c>
      <c r="H434" s="120">
        <v>43477</v>
      </c>
      <c r="I434" s="50">
        <v>0.61805555555555558</v>
      </c>
      <c r="J434" s="46" t="s">
        <v>17</v>
      </c>
      <c r="K434" s="51">
        <v>7.3</v>
      </c>
      <c r="L434" s="122" t="str">
        <f>IF(AND(Tabla_Ventas[[#This Row],[VENTA TOTAL]]&gt;=30,Tabla_Ventas[[#This Row],[TIPO DE CLIENTE/ Customer type]]="Member"),"PARTICIPA","NO PARTICIPA")</f>
        <v>PARTICIPA</v>
      </c>
    </row>
    <row r="435" spans="1:12" ht="19" x14ac:dyDescent="0.25">
      <c r="A435" s="45">
        <v>268276179</v>
      </c>
      <c r="B435" s="46" t="s">
        <v>16</v>
      </c>
      <c r="C435" s="46" t="s">
        <v>13</v>
      </c>
      <c r="D435" s="46" t="s">
        <v>22</v>
      </c>
      <c r="E435" s="47">
        <v>56.47</v>
      </c>
      <c r="F435" s="48">
        <v>8</v>
      </c>
      <c r="G435" s="78">
        <f t="shared" si="6"/>
        <v>451.76</v>
      </c>
      <c r="H435" s="120">
        <v>43533</v>
      </c>
      <c r="I435" s="50">
        <v>0.62291666666666667</v>
      </c>
      <c r="J435" s="46" t="s">
        <v>17</v>
      </c>
      <c r="K435" s="51">
        <v>7.3</v>
      </c>
      <c r="L435" s="122" t="str">
        <f>IF(AND(Tabla_Ventas[[#This Row],[VENTA TOTAL]]&gt;=30,Tabla_Ventas[[#This Row],[TIPO DE CLIENTE/ Customer type]]="Member"),"PARTICIPA","NO PARTICIPA")</f>
        <v>PARTICIPA</v>
      </c>
    </row>
    <row r="436" spans="1:12" ht="19" x14ac:dyDescent="0.25">
      <c r="A436" s="45">
        <v>584867256</v>
      </c>
      <c r="B436" s="46" t="s">
        <v>12</v>
      </c>
      <c r="C436" s="46" t="s">
        <v>13</v>
      </c>
      <c r="D436" s="46" t="s">
        <v>14</v>
      </c>
      <c r="E436" s="47">
        <v>34.56</v>
      </c>
      <c r="F436" s="48">
        <v>7</v>
      </c>
      <c r="G436" s="78">
        <f t="shared" si="6"/>
        <v>241.92000000000002</v>
      </c>
      <c r="H436" s="120">
        <v>43478</v>
      </c>
      <c r="I436" s="50">
        <v>0.67152777777777783</v>
      </c>
      <c r="J436" s="46" t="s">
        <v>15</v>
      </c>
      <c r="K436" s="51">
        <v>7.3</v>
      </c>
      <c r="L436" s="122" t="str">
        <f>IF(AND(Tabla_Ventas[[#This Row],[VENTA TOTAL]]&gt;=30,Tabla_Ventas[[#This Row],[TIPO DE CLIENTE/ Customer type]]="Member"),"PARTICIPA","NO PARTICIPA")</f>
        <v>PARTICIPA</v>
      </c>
    </row>
    <row r="437" spans="1:12" ht="19" x14ac:dyDescent="0.25">
      <c r="A437" s="45">
        <v>428835800</v>
      </c>
      <c r="B437" s="46" t="s">
        <v>12</v>
      </c>
      <c r="C437" s="46" t="s">
        <v>13</v>
      </c>
      <c r="D437" s="46" t="s">
        <v>24</v>
      </c>
      <c r="E437" s="47">
        <v>21.08</v>
      </c>
      <c r="F437" s="48">
        <v>3</v>
      </c>
      <c r="G437" s="78">
        <f t="shared" si="6"/>
        <v>63.239999999999995</v>
      </c>
      <c r="H437" s="120">
        <v>43710</v>
      </c>
      <c r="I437" s="50">
        <v>0.43402777777777773</v>
      </c>
      <c r="J437" s="46" t="s">
        <v>23</v>
      </c>
      <c r="K437" s="51">
        <v>7.3</v>
      </c>
      <c r="L437" s="122" t="str">
        <f>IF(AND(Tabla_Ventas[[#This Row],[VENTA TOTAL]]&gt;=30,Tabla_Ventas[[#This Row],[TIPO DE CLIENTE/ Customer type]]="Member"),"PARTICIPA","NO PARTICIPA")</f>
        <v>PARTICIPA</v>
      </c>
    </row>
    <row r="438" spans="1:12" ht="19" x14ac:dyDescent="0.25">
      <c r="A438" s="45">
        <v>441947118</v>
      </c>
      <c r="B438" s="46" t="s">
        <v>19</v>
      </c>
      <c r="C438" s="46" t="s">
        <v>13</v>
      </c>
      <c r="D438" s="46" t="s">
        <v>21</v>
      </c>
      <c r="E438" s="47">
        <v>71.95</v>
      </c>
      <c r="F438" s="48">
        <v>1</v>
      </c>
      <c r="G438" s="78">
        <f t="shared" si="6"/>
        <v>71.95</v>
      </c>
      <c r="H438" s="120">
        <v>43500</v>
      </c>
      <c r="I438" s="50">
        <v>0.50972222222222219</v>
      </c>
      <c r="J438" s="46" t="s">
        <v>23</v>
      </c>
      <c r="K438" s="51">
        <v>7.3</v>
      </c>
      <c r="L438" s="122" t="str">
        <f>IF(AND(Tabla_Ventas[[#This Row],[VENTA TOTAL]]&gt;=30,Tabla_Ventas[[#This Row],[TIPO DE CLIENTE/ Customer type]]="Member"),"PARTICIPA","NO PARTICIPA")</f>
        <v>PARTICIPA</v>
      </c>
    </row>
    <row r="439" spans="1:12" ht="19" x14ac:dyDescent="0.25">
      <c r="A439" s="45">
        <v>885176250</v>
      </c>
      <c r="B439" s="46" t="s">
        <v>19</v>
      </c>
      <c r="C439" s="46" t="s">
        <v>18</v>
      </c>
      <c r="D439" s="46" t="s">
        <v>20</v>
      </c>
      <c r="E439" s="47">
        <v>79.739999999999995</v>
      </c>
      <c r="F439" s="48">
        <v>1</v>
      </c>
      <c r="G439" s="78">
        <f t="shared" si="6"/>
        <v>79.739999999999995</v>
      </c>
      <c r="H439" s="120">
        <v>43530</v>
      </c>
      <c r="I439" s="50">
        <v>0.44166666666666665</v>
      </c>
      <c r="J439" s="46" t="s">
        <v>17</v>
      </c>
      <c r="K439" s="51">
        <v>7.3</v>
      </c>
      <c r="L439" s="122" t="str">
        <f>IF(AND(Tabla_Ventas[[#This Row],[VENTA TOTAL]]&gt;=30,Tabla_Ventas[[#This Row],[TIPO DE CLIENTE/ Customer type]]="Member"),"PARTICIPA","NO PARTICIPA")</f>
        <v>NO PARTICIPA</v>
      </c>
    </row>
    <row r="440" spans="1:12" ht="19" x14ac:dyDescent="0.25">
      <c r="A440" s="45">
        <v>325776186</v>
      </c>
      <c r="B440" s="46" t="s">
        <v>19</v>
      </c>
      <c r="C440" s="46" t="s">
        <v>13</v>
      </c>
      <c r="D440" s="46" t="s">
        <v>25</v>
      </c>
      <c r="E440" s="47">
        <v>90.65</v>
      </c>
      <c r="F440" s="48">
        <v>10</v>
      </c>
      <c r="G440" s="78">
        <f t="shared" si="6"/>
        <v>906.5</v>
      </c>
      <c r="H440" s="120">
        <v>43532</v>
      </c>
      <c r="I440" s="50">
        <v>0.45347222222222222</v>
      </c>
      <c r="J440" s="46" t="s">
        <v>17</v>
      </c>
      <c r="K440" s="51">
        <v>7.3</v>
      </c>
      <c r="L440" s="122" t="str">
        <f>IF(AND(Tabla_Ventas[[#This Row],[VENTA TOTAL]]&gt;=30,Tabla_Ventas[[#This Row],[TIPO DE CLIENTE/ Customer type]]="Member"),"PARTICIPA","NO PARTICIPA")</f>
        <v>PARTICIPA</v>
      </c>
    </row>
    <row r="441" spans="1:12" ht="19" x14ac:dyDescent="0.25">
      <c r="A441" s="45">
        <v>709584068</v>
      </c>
      <c r="B441" s="46" t="s">
        <v>16</v>
      </c>
      <c r="C441" s="46" t="s">
        <v>18</v>
      </c>
      <c r="D441" s="46" t="s">
        <v>22</v>
      </c>
      <c r="E441" s="47">
        <v>41.09</v>
      </c>
      <c r="F441" s="48">
        <v>10</v>
      </c>
      <c r="G441" s="78">
        <f t="shared" si="6"/>
        <v>410.90000000000003</v>
      </c>
      <c r="H441" s="120">
        <v>43524</v>
      </c>
      <c r="I441" s="50">
        <v>0.61249999999999993</v>
      </c>
      <c r="J441" s="46" t="s">
        <v>23</v>
      </c>
      <c r="K441" s="51">
        <v>7.3</v>
      </c>
      <c r="L441" s="122" t="str">
        <f>IF(AND(Tabla_Ventas[[#This Row],[VENTA TOTAL]]&gt;=30,Tabla_Ventas[[#This Row],[TIPO DE CLIENTE/ Customer type]]="Member"),"PARTICIPA","NO PARTICIPA")</f>
        <v>NO PARTICIPA</v>
      </c>
    </row>
    <row r="442" spans="1:12" ht="19" x14ac:dyDescent="0.25">
      <c r="A442" s="45">
        <v>451285717</v>
      </c>
      <c r="B442" s="46" t="s">
        <v>12</v>
      </c>
      <c r="C442" s="46" t="s">
        <v>13</v>
      </c>
      <c r="D442" s="46" t="s">
        <v>25</v>
      </c>
      <c r="E442" s="47">
        <v>83.17</v>
      </c>
      <c r="F442" s="48">
        <v>6</v>
      </c>
      <c r="G442" s="78">
        <f t="shared" si="6"/>
        <v>499.02</v>
      </c>
      <c r="H442" s="120">
        <v>43544</v>
      </c>
      <c r="I442" s="50">
        <v>0.47430555555555554</v>
      </c>
      <c r="J442" s="46" t="s">
        <v>23</v>
      </c>
      <c r="K442" s="51">
        <v>7.3</v>
      </c>
      <c r="L442" s="122" t="str">
        <f>IF(AND(Tabla_Ventas[[#This Row],[VENTA TOTAL]]&gt;=30,Tabla_Ventas[[#This Row],[TIPO DE CLIENTE/ Customer type]]="Member"),"PARTICIPA","NO PARTICIPA")</f>
        <v>PARTICIPA</v>
      </c>
    </row>
    <row r="443" spans="1:12" ht="19" x14ac:dyDescent="0.25">
      <c r="A443" s="45">
        <v>213321216</v>
      </c>
      <c r="B443" s="46" t="s">
        <v>19</v>
      </c>
      <c r="C443" s="46" t="s">
        <v>18</v>
      </c>
      <c r="D443" s="46" t="s">
        <v>21</v>
      </c>
      <c r="E443" s="47">
        <v>66.06</v>
      </c>
      <c r="F443" s="48">
        <v>6</v>
      </c>
      <c r="G443" s="78">
        <f t="shared" si="6"/>
        <v>396.36</v>
      </c>
      <c r="H443" s="120">
        <v>43488</v>
      </c>
      <c r="I443" s="50">
        <v>0.43611111111111112</v>
      </c>
      <c r="J443" s="46" t="s">
        <v>23</v>
      </c>
      <c r="K443" s="51">
        <v>7.3</v>
      </c>
      <c r="L443" s="122" t="str">
        <f>IF(AND(Tabla_Ventas[[#This Row],[VENTA TOTAL]]&gt;=30,Tabla_Ventas[[#This Row],[TIPO DE CLIENTE/ Customer type]]="Member"),"PARTICIPA","NO PARTICIPA")</f>
        <v>NO PARTICIPA</v>
      </c>
    </row>
    <row r="444" spans="1:12" ht="19" x14ac:dyDescent="0.25">
      <c r="A444" s="45">
        <v>174750888</v>
      </c>
      <c r="B444" s="46" t="s">
        <v>16</v>
      </c>
      <c r="C444" s="46" t="s">
        <v>18</v>
      </c>
      <c r="D444" s="46" t="s">
        <v>21</v>
      </c>
      <c r="E444" s="47">
        <v>21.58</v>
      </c>
      <c r="F444" s="48">
        <v>9</v>
      </c>
      <c r="G444" s="78">
        <f t="shared" si="6"/>
        <v>194.21999999999997</v>
      </c>
      <c r="H444" s="120">
        <v>43538</v>
      </c>
      <c r="I444" s="50">
        <v>0.52222222222222225</v>
      </c>
      <c r="J444" s="46" t="s">
        <v>23</v>
      </c>
      <c r="K444" s="51">
        <v>7.3</v>
      </c>
      <c r="L444" s="122" t="str">
        <f>IF(AND(Tabla_Ventas[[#This Row],[VENTA TOTAL]]&gt;=30,Tabla_Ventas[[#This Row],[TIPO DE CLIENTE/ Customer type]]="Member"),"PARTICIPA","NO PARTICIPA")</f>
        <v>NO PARTICIPA</v>
      </c>
    </row>
    <row r="445" spans="1:12" ht="19" x14ac:dyDescent="0.25">
      <c r="A445" s="45">
        <v>390316381</v>
      </c>
      <c r="B445" s="46" t="s">
        <v>12</v>
      </c>
      <c r="C445" s="46" t="s">
        <v>18</v>
      </c>
      <c r="D445" s="46" t="s">
        <v>24</v>
      </c>
      <c r="E445" s="47">
        <v>27.22</v>
      </c>
      <c r="F445" s="48">
        <v>3</v>
      </c>
      <c r="G445" s="78">
        <f t="shared" si="6"/>
        <v>81.66</v>
      </c>
      <c r="H445" s="120">
        <v>43472</v>
      </c>
      <c r="I445" s="50">
        <v>0.52569444444444446</v>
      </c>
      <c r="J445" s="46" t="s">
        <v>23</v>
      </c>
      <c r="K445" s="51">
        <v>7.3</v>
      </c>
      <c r="L445" s="122" t="str">
        <f>IF(AND(Tabla_Ventas[[#This Row],[VENTA TOTAL]]&gt;=30,Tabla_Ventas[[#This Row],[TIPO DE CLIENTE/ Customer type]]="Member"),"PARTICIPA","NO PARTICIPA")</f>
        <v>NO PARTICIPA</v>
      </c>
    </row>
    <row r="446" spans="1:12" ht="19" x14ac:dyDescent="0.25">
      <c r="A446" s="45">
        <v>742045161</v>
      </c>
      <c r="B446" s="46" t="s">
        <v>19</v>
      </c>
      <c r="C446" s="46" t="s">
        <v>13</v>
      </c>
      <c r="D446" s="46" t="s">
        <v>25</v>
      </c>
      <c r="E446" s="49">
        <v>72.78</v>
      </c>
      <c r="F446" s="48">
        <v>10</v>
      </c>
      <c r="G446" s="78">
        <f t="shared" si="6"/>
        <v>727.8</v>
      </c>
      <c r="H446" s="120">
        <v>43499</v>
      </c>
      <c r="I446" s="50">
        <v>0.72499999999999998</v>
      </c>
      <c r="J446" s="46" t="s">
        <v>23</v>
      </c>
      <c r="K446" s="51">
        <v>7.3</v>
      </c>
      <c r="L446" s="122" t="str">
        <f>IF(AND(Tabla_Ventas[[#This Row],[VENTA TOTAL]]&gt;=30,Tabla_Ventas[[#This Row],[TIPO DE CLIENTE/ Customer type]]="Member"),"PARTICIPA","NO PARTICIPA")</f>
        <v>PARTICIPA</v>
      </c>
    </row>
    <row r="447" spans="1:12" ht="19" x14ac:dyDescent="0.25">
      <c r="A447" s="45">
        <v>752233760</v>
      </c>
      <c r="B447" s="46" t="s">
        <v>12</v>
      </c>
      <c r="C447" s="46" t="s">
        <v>13</v>
      </c>
      <c r="D447" s="46" t="s">
        <v>14</v>
      </c>
      <c r="E447" s="49">
        <v>64.08</v>
      </c>
      <c r="F447" s="48">
        <v>7</v>
      </c>
      <c r="G447" s="78">
        <f t="shared" si="6"/>
        <v>448.56</v>
      </c>
      <c r="H447" s="120">
        <v>43515</v>
      </c>
      <c r="I447" s="50">
        <v>0.81180555555555556</v>
      </c>
      <c r="J447" s="46" t="s">
        <v>15</v>
      </c>
      <c r="K447" s="51">
        <v>7.3</v>
      </c>
      <c r="L447" s="122" t="str">
        <f>IF(AND(Tabla_Ventas[[#This Row],[VENTA TOTAL]]&gt;=30,Tabla_Ventas[[#This Row],[TIPO DE CLIENTE/ Customer type]]="Member"),"PARTICIPA","NO PARTICIPA")</f>
        <v>PARTICIPA</v>
      </c>
    </row>
    <row r="448" spans="1:12" ht="19" x14ac:dyDescent="0.25">
      <c r="A448" s="45">
        <v>176781170</v>
      </c>
      <c r="B448" s="46" t="s">
        <v>16</v>
      </c>
      <c r="C448" s="46" t="s">
        <v>13</v>
      </c>
      <c r="D448" s="46" t="s">
        <v>20</v>
      </c>
      <c r="E448" s="49">
        <v>33.81</v>
      </c>
      <c r="F448" s="48">
        <v>3</v>
      </c>
      <c r="G448" s="78">
        <f t="shared" si="6"/>
        <v>101.43</v>
      </c>
      <c r="H448" s="120">
        <v>43491</v>
      </c>
      <c r="I448" s="50">
        <v>0.63263888888888886</v>
      </c>
      <c r="J448" s="46" t="s">
        <v>17</v>
      </c>
      <c r="K448" s="51">
        <v>7.3</v>
      </c>
      <c r="L448" s="122" t="str">
        <f>IF(AND(Tabla_Ventas[[#This Row],[VENTA TOTAL]]&gt;=30,Tabla_Ventas[[#This Row],[TIPO DE CLIENTE/ Customer type]]="Member"),"PARTICIPA","NO PARTICIPA")</f>
        <v>PARTICIPA</v>
      </c>
    </row>
    <row r="449" spans="1:12" ht="19" x14ac:dyDescent="0.25">
      <c r="A449" s="45">
        <v>313669943</v>
      </c>
      <c r="B449" s="46" t="s">
        <v>12</v>
      </c>
      <c r="C449" s="46" t="s">
        <v>13</v>
      </c>
      <c r="D449" s="46" t="s">
        <v>24</v>
      </c>
      <c r="E449" s="49">
        <v>29.15</v>
      </c>
      <c r="F449" s="48">
        <v>3</v>
      </c>
      <c r="G449" s="78">
        <f t="shared" si="6"/>
        <v>87.449999999999989</v>
      </c>
      <c r="H449" s="120">
        <v>43551</v>
      </c>
      <c r="I449" s="50">
        <v>0.8534722222222223</v>
      </c>
      <c r="J449" s="46" t="s">
        <v>15</v>
      </c>
      <c r="K449" s="51">
        <v>7.3</v>
      </c>
      <c r="L449" s="122" t="str">
        <f>IF(AND(Tabla_Ventas[[#This Row],[VENTA TOTAL]]&gt;=30,Tabla_Ventas[[#This Row],[TIPO DE CLIENTE/ Customer type]]="Member"),"PARTICIPA","NO PARTICIPA")</f>
        <v>PARTICIPA</v>
      </c>
    </row>
    <row r="450" spans="1:12" ht="19" x14ac:dyDescent="0.25">
      <c r="A450" s="45">
        <v>489821237</v>
      </c>
      <c r="B450" s="46" t="s">
        <v>19</v>
      </c>
      <c r="C450" s="46" t="s">
        <v>18</v>
      </c>
      <c r="D450" s="46" t="s">
        <v>21</v>
      </c>
      <c r="E450" s="49">
        <v>93.88</v>
      </c>
      <c r="F450" s="48">
        <v>7</v>
      </c>
      <c r="G450" s="78">
        <f t="shared" si="6"/>
        <v>657.16</v>
      </c>
      <c r="H450" s="120">
        <v>43470</v>
      </c>
      <c r="I450" s="50">
        <v>0.49374999999999997</v>
      </c>
      <c r="J450" s="46" t="s">
        <v>15</v>
      </c>
      <c r="K450" s="51">
        <v>7.3</v>
      </c>
      <c r="L450" s="122" t="str">
        <f>IF(AND(Tabla_Ventas[[#This Row],[VENTA TOTAL]]&gt;=30,Tabla_Ventas[[#This Row],[TIPO DE CLIENTE/ Customer type]]="Member"),"PARTICIPA","NO PARTICIPA")</f>
        <v>NO PARTICIPA</v>
      </c>
    </row>
    <row r="451" spans="1:12" ht="19" x14ac:dyDescent="0.25">
      <c r="A451" s="45">
        <v>665329167</v>
      </c>
      <c r="B451" s="46" t="s">
        <v>19</v>
      </c>
      <c r="C451" s="46" t="s">
        <v>13</v>
      </c>
      <c r="D451" s="46" t="s">
        <v>20</v>
      </c>
      <c r="E451" s="47">
        <v>36.26</v>
      </c>
      <c r="F451" s="48">
        <v>2</v>
      </c>
      <c r="G451" s="78">
        <f t="shared" si="6"/>
        <v>72.52</v>
      </c>
      <c r="H451" s="120">
        <v>43739</v>
      </c>
      <c r="I451" s="50">
        <v>0.71875</v>
      </c>
      <c r="J451" s="46" t="s">
        <v>15</v>
      </c>
      <c r="K451" s="51">
        <v>7.2</v>
      </c>
      <c r="L451" s="122" t="str">
        <f>IF(AND(Tabla_Ventas[[#This Row],[VENTA TOTAL]]&gt;=30,Tabla_Ventas[[#This Row],[TIPO DE CLIENTE/ Customer type]]="Member"),"PARTICIPA","NO PARTICIPA")</f>
        <v>PARTICIPA</v>
      </c>
    </row>
    <row r="452" spans="1:12" ht="19" x14ac:dyDescent="0.25">
      <c r="A452" s="45">
        <v>617154209</v>
      </c>
      <c r="B452" s="46" t="s">
        <v>12</v>
      </c>
      <c r="C452" s="46" t="s">
        <v>13</v>
      </c>
      <c r="D452" s="46" t="s">
        <v>20</v>
      </c>
      <c r="E452" s="47">
        <v>15.37</v>
      </c>
      <c r="F452" s="48">
        <v>2</v>
      </c>
      <c r="G452" s="78">
        <f t="shared" ref="G452:G515" si="7">F452*E452</f>
        <v>30.74</v>
      </c>
      <c r="H452" s="120">
        <v>43540</v>
      </c>
      <c r="I452" s="50">
        <v>0.82430555555555562</v>
      </c>
      <c r="J452" s="46" t="s">
        <v>23</v>
      </c>
      <c r="K452" s="51">
        <v>7.2</v>
      </c>
      <c r="L452" s="122" t="str">
        <f>IF(AND(Tabla_Ventas[[#This Row],[VENTA TOTAL]]&gt;=30,Tabla_Ventas[[#This Row],[TIPO DE CLIENTE/ Customer type]]="Member"),"PARTICIPA","NO PARTICIPA")</f>
        <v>PARTICIPA</v>
      </c>
    </row>
    <row r="453" spans="1:12" ht="19" x14ac:dyDescent="0.25">
      <c r="A453" s="45">
        <v>594344444</v>
      </c>
      <c r="B453" s="46" t="s">
        <v>19</v>
      </c>
      <c r="C453" s="46" t="s">
        <v>18</v>
      </c>
      <c r="D453" s="46" t="s">
        <v>21</v>
      </c>
      <c r="E453" s="47">
        <v>97.16</v>
      </c>
      <c r="F453" s="48">
        <v>1</v>
      </c>
      <c r="G453" s="78">
        <f t="shared" si="7"/>
        <v>97.16</v>
      </c>
      <c r="H453" s="120">
        <v>43532</v>
      </c>
      <c r="I453" s="50">
        <v>0.85972222222222217</v>
      </c>
      <c r="J453" s="46" t="s">
        <v>17</v>
      </c>
      <c r="K453" s="51">
        <v>7.2</v>
      </c>
      <c r="L453" s="122" t="str">
        <f>IF(AND(Tabla_Ventas[[#This Row],[VENTA TOTAL]]&gt;=30,Tabla_Ventas[[#This Row],[TIPO DE CLIENTE/ Customer type]]="Member"),"PARTICIPA","NO PARTICIPA")</f>
        <v>NO PARTICIPA</v>
      </c>
    </row>
    <row r="454" spans="1:12" ht="19" x14ac:dyDescent="0.25">
      <c r="A454" s="45">
        <v>189982939</v>
      </c>
      <c r="B454" s="46" t="s">
        <v>12</v>
      </c>
      <c r="C454" s="46" t="s">
        <v>18</v>
      </c>
      <c r="D454" s="46" t="s">
        <v>22</v>
      </c>
      <c r="E454" s="47">
        <v>78.55</v>
      </c>
      <c r="F454" s="48">
        <v>9</v>
      </c>
      <c r="G454" s="78">
        <f t="shared" si="7"/>
        <v>706.94999999999993</v>
      </c>
      <c r="H454" s="120">
        <v>43468</v>
      </c>
      <c r="I454" s="50">
        <v>0.55694444444444446</v>
      </c>
      <c r="J454" s="46" t="s">
        <v>23</v>
      </c>
      <c r="K454" s="51">
        <v>7.2</v>
      </c>
      <c r="L454" s="122" t="str">
        <f>IF(AND(Tabla_Ventas[[#This Row],[VENTA TOTAL]]&gt;=30,Tabla_Ventas[[#This Row],[TIPO DE CLIENTE/ Customer type]]="Member"),"PARTICIPA","NO PARTICIPA")</f>
        <v>NO PARTICIPA</v>
      </c>
    </row>
    <row r="455" spans="1:12" ht="19" x14ac:dyDescent="0.25">
      <c r="A455" s="45">
        <v>549847482</v>
      </c>
      <c r="B455" s="46" t="s">
        <v>16</v>
      </c>
      <c r="C455" s="46" t="s">
        <v>18</v>
      </c>
      <c r="D455" s="46" t="s">
        <v>14</v>
      </c>
      <c r="E455" s="47">
        <v>90.28</v>
      </c>
      <c r="F455" s="48">
        <v>9</v>
      </c>
      <c r="G455" s="78">
        <f t="shared" si="7"/>
        <v>812.52</v>
      </c>
      <c r="H455" s="120">
        <v>43679</v>
      </c>
      <c r="I455" s="50">
        <v>0.46875</v>
      </c>
      <c r="J455" s="46" t="s">
        <v>17</v>
      </c>
      <c r="K455" s="51">
        <v>7.2</v>
      </c>
      <c r="L455" s="122" t="str">
        <f>IF(AND(Tabla_Ventas[[#This Row],[VENTA TOTAL]]&gt;=30,Tabla_Ventas[[#This Row],[TIPO DE CLIENTE/ Customer type]]="Member"),"PARTICIPA","NO PARTICIPA")</f>
        <v>NO PARTICIPA</v>
      </c>
    </row>
    <row r="456" spans="1:12" ht="19" x14ac:dyDescent="0.25">
      <c r="A456" s="45">
        <v>284349626</v>
      </c>
      <c r="B456" s="46" t="s">
        <v>16</v>
      </c>
      <c r="C456" s="46" t="s">
        <v>18</v>
      </c>
      <c r="D456" s="46" t="s">
        <v>25</v>
      </c>
      <c r="E456" s="47">
        <v>77.040000000000006</v>
      </c>
      <c r="F456" s="48">
        <v>3</v>
      </c>
      <c r="G456" s="78">
        <f t="shared" si="7"/>
        <v>231.12</v>
      </c>
      <c r="H456" s="120">
        <v>43771</v>
      </c>
      <c r="I456" s="50">
        <v>0.44375000000000003</v>
      </c>
      <c r="J456" s="46" t="s">
        <v>15</v>
      </c>
      <c r="K456" s="51">
        <v>7.2</v>
      </c>
      <c r="L456" s="122" t="str">
        <f>IF(AND(Tabla_Ventas[[#This Row],[VENTA TOTAL]]&gt;=30,Tabla_Ventas[[#This Row],[TIPO DE CLIENTE/ Customer type]]="Member"),"PARTICIPA","NO PARTICIPA")</f>
        <v>NO PARTICIPA</v>
      </c>
    </row>
    <row r="457" spans="1:12" ht="19" x14ac:dyDescent="0.25">
      <c r="A457" s="45">
        <v>883174236</v>
      </c>
      <c r="B457" s="46" t="s">
        <v>12</v>
      </c>
      <c r="C457" s="46" t="s">
        <v>18</v>
      </c>
      <c r="D457" s="46" t="s">
        <v>14</v>
      </c>
      <c r="E457" s="47">
        <v>14.39</v>
      </c>
      <c r="F457" s="48">
        <v>2</v>
      </c>
      <c r="G457" s="78">
        <f t="shared" si="7"/>
        <v>28.78</v>
      </c>
      <c r="H457" s="120">
        <v>43499</v>
      </c>
      <c r="I457" s="50">
        <v>0.8222222222222223</v>
      </c>
      <c r="J457" s="46" t="s">
        <v>15</v>
      </c>
      <c r="K457" s="51">
        <v>7.2</v>
      </c>
      <c r="L457" s="122" t="str">
        <f>IF(AND(Tabla_Ventas[[#This Row],[VENTA TOTAL]]&gt;=30,Tabla_Ventas[[#This Row],[TIPO DE CLIENTE/ Customer type]]="Member"),"PARTICIPA","NO PARTICIPA")</f>
        <v>NO PARTICIPA</v>
      </c>
    </row>
    <row r="458" spans="1:12" ht="19" x14ac:dyDescent="0.25">
      <c r="A458" s="45">
        <v>462679126</v>
      </c>
      <c r="B458" s="46" t="s">
        <v>19</v>
      </c>
      <c r="C458" s="46" t="s">
        <v>18</v>
      </c>
      <c r="D458" s="46" t="s">
        <v>25</v>
      </c>
      <c r="E458" s="47">
        <v>73.22</v>
      </c>
      <c r="F458" s="48">
        <v>6</v>
      </c>
      <c r="G458" s="78">
        <f t="shared" si="7"/>
        <v>439.32</v>
      </c>
      <c r="H458" s="120">
        <v>43486</v>
      </c>
      <c r="I458" s="50">
        <v>0.73888888888888893</v>
      </c>
      <c r="J458" s="46" t="s">
        <v>23</v>
      </c>
      <c r="K458" s="51">
        <v>7.2</v>
      </c>
      <c r="L458" s="122" t="str">
        <f>IF(AND(Tabla_Ventas[[#This Row],[VENTA TOTAL]]&gt;=30,Tabla_Ventas[[#This Row],[TIPO DE CLIENTE/ Customer type]]="Member"),"PARTICIPA","NO PARTICIPA")</f>
        <v>NO PARTICIPA</v>
      </c>
    </row>
    <row r="459" spans="1:12" ht="19" x14ac:dyDescent="0.25">
      <c r="A459" s="45">
        <v>563369814</v>
      </c>
      <c r="B459" s="46" t="s">
        <v>19</v>
      </c>
      <c r="C459" s="46" t="s">
        <v>13</v>
      </c>
      <c r="D459" s="46" t="s">
        <v>21</v>
      </c>
      <c r="E459" s="47">
        <v>76.819999999999993</v>
      </c>
      <c r="F459" s="48">
        <v>1</v>
      </c>
      <c r="G459" s="78">
        <f t="shared" si="7"/>
        <v>76.819999999999993</v>
      </c>
      <c r="H459" s="120">
        <v>43509</v>
      </c>
      <c r="I459" s="50">
        <v>0.76874999999999993</v>
      </c>
      <c r="J459" s="46" t="s">
        <v>17</v>
      </c>
      <c r="K459" s="51">
        <v>7.2</v>
      </c>
      <c r="L459" s="122" t="str">
        <f>IF(AND(Tabla_Ventas[[#This Row],[VENTA TOTAL]]&gt;=30,Tabla_Ventas[[#This Row],[TIPO DE CLIENTE/ Customer type]]="Member"),"PARTICIPA","NO PARTICIPA")</f>
        <v>PARTICIPA</v>
      </c>
    </row>
    <row r="460" spans="1:12" ht="19" x14ac:dyDescent="0.25">
      <c r="A460" s="45">
        <v>746190921</v>
      </c>
      <c r="B460" s="46" t="s">
        <v>12</v>
      </c>
      <c r="C460" s="46" t="s">
        <v>18</v>
      </c>
      <c r="D460" s="46" t="s">
        <v>24</v>
      </c>
      <c r="E460" s="47">
        <v>21.58</v>
      </c>
      <c r="F460" s="48">
        <v>1</v>
      </c>
      <c r="G460" s="78">
        <f t="shared" si="7"/>
        <v>21.58</v>
      </c>
      <c r="H460" s="120">
        <v>43710</v>
      </c>
      <c r="I460" s="50">
        <v>0.41805555555555557</v>
      </c>
      <c r="J460" s="46" t="s">
        <v>17</v>
      </c>
      <c r="K460" s="51">
        <v>7.2</v>
      </c>
      <c r="L460" s="122" t="str">
        <f>IF(AND(Tabla_Ventas[[#This Row],[VENTA TOTAL]]&gt;=30,Tabla_Ventas[[#This Row],[TIPO DE CLIENTE/ Customer type]]="Member"),"PARTICIPA","NO PARTICIPA")</f>
        <v>NO PARTICIPA</v>
      </c>
    </row>
    <row r="461" spans="1:12" ht="19" x14ac:dyDescent="0.25">
      <c r="A461" s="45">
        <v>510095628</v>
      </c>
      <c r="B461" s="46" t="s">
        <v>19</v>
      </c>
      <c r="C461" s="46" t="s">
        <v>13</v>
      </c>
      <c r="D461" s="46" t="s">
        <v>22</v>
      </c>
      <c r="E461" s="47">
        <v>19.66</v>
      </c>
      <c r="F461" s="48">
        <v>10</v>
      </c>
      <c r="G461" s="78">
        <f t="shared" si="7"/>
        <v>196.6</v>
      </c>
      <c r="H461" s="120">
        <v>43539</v>
      </c>
      <c r="I461" s="50">
        <v>0.76388888888888884</v>
      </c>
      <c r="J461" s="46" t="s">
        <v>15</v>
      </c>
      <c r="K461" s="51">
        <v>7.2</v>
      </c>
      <c r="L461" s="122" t="str">
        <f>IF(AND(Tabla_Ventas[[#This Row],[VENTA TOTAL]]&gt;=30,Tabla_Ventas[[#This Row],[TIPO DE CLIENTE/ Customer type]]="Member"),"PARTICIPA","NO PARTICIPA")</f>
        <v>PARTICIPA</v>
      </c>
    </row>
    <row r="462" spans="1:12" ht="19" x14ac:dyDescent="0.25">
      <c r="A462" s="45">
        <v>435134908</v>
      </c>
      <c r="B462" s="46" t="s">
        <v>19</v>
      </c>
      <c r="C462" s="46" t="s">
        <v>13</v>
      </c>
      <c r="D462" s="46" t="s">
        <v>22</v>
      </c>
      <c r="E462" s="47">
        <v>86.68</v>
      </c>
      <c r="F462" s="48">
        <v>8</v>
      </c>
      <c r="G462" s="78">
        <f t="shared" si="7"/>
        <v>693.44</v>
      </c>
      <c r="H462" s="120">
        <v>43489</v>
      </c>
      <c r="I462" s="50">
        <v>0.75277777777777777</v>
      </c>
      <c r="J462" s="46" t="s">
        <v>15</v>
      </c>
      <c r="K462" s="51">
        <v>7.2</v>
      </c>
      <c r="L462" s="122" t="str">
        <f>IF(AND(Tabla_Ventas[[#This Row],[VENTA TOTAL]]&gt;=30,Tabla_Ventas[[#This Row],[TIPO DE CLIENTE/ Customer type]]="Member"),"PARTICIPA","NO PARTICIPA")</f>
        <v>PARTICIPA</v>
      </c>
    </row>
    <row r="463" spans="1:12" ht="19" x14ac:dyDescent="0.25">
      <c r="A463" s="45">
        <v>789238625</v>
      </c>
      <c r="B463" s="46" t="s">
        <v>12</v>
      </c>
      <c r="C463" s="46" t="s">
        <v>13</v>
      </c>
      <c r="D463" s="46" t="s">
        <v>22</v>
      </c>
      <c r="E463" s="49">
        <v>93.22</v>
      </c>
      <c r="F463" s="48">
        <v>3</v>
      </c>
      <c r="G463" s="78">
        <f t="shared" si="7"/>
        <v>279.65999999999997</v>
      </c>
      <c r="H463" s="120">
        <v>43489</v>
      </c>
      <c r="I463" s="50">
        <v>0.48958333333333331</v>
      </c>
      <c r="J463" s="46" t="s">
        <v>23</v>
      </c>
      <c r="K463" s="51">
        <v>7.2</v>
      </c>
      <c r="L463" s="122" t="str">
        <f>IF(AND(Tabla_Ventas[[#This Row],[VENTA TOTAL]]&gt;=30,Tabla_Ventas[[#This Row],[TIPO DE CLIENTE/ Customer type]]="Member"),"PARTICIPA","NO PARTICIPA")</f>
        <v>PARTICIPA</v>
      </c>
    </row>
    <row r="464" spans="1:12" ht="19" x14ac:dyDescent="0.25">
      <c r="A464" s="45">
        <v>183213799</v>
      </c>
      <c r="B464" s="46" t="s">
        <v>16</v>
      </c>
      <c r="C464" s="46" t="s">
        <v>18</v>
      </c>
      <c r="D464" s="46" t="s">
        <v>21</v>
      </c>
      <c r="E464" s="49">
        <v>77.63</v>
      </c>
      <c r="F464" s="48">
        <v>9</v>
      </c>
      <c r="G464" s="78">
        <f t="shared" si="7"/>
        <v>698.67</v>
      </c>
      <c r="H464" s="120">
        <v>43515</v>
      </c>
      <c r="I464" s="50">
        <v>0.63472222222222219</v>
      </c>
      <c r="J464" s="46" t="s">
        <v>17</v>
      </c>
      <c r="K464" s="51">
        <v>7.2</v>
      </c>
      <c r="L464" s="122" t="str">
        <f>IF(AND(Tabla_Ventas[[#This Row],[VENTA TOTAL]]&gt;=30,Tabla_Ventas[[#This Row],[TIPO DE CLIENTE/ Customer type]]="Member"),"PARTICIPA","NO PARTICIPA")</f>
        <v>NO PARTICIPA</v>
      </c>
    </row>
    <row r="465" spans="1:12" ht="19" x14ac:dyDescent="0.25">
      <c r="A465" s="45">
        <v>788215741</v>
      </c>
      <c r="B465" s="46" t="s">
        <v>19</v>
      </c>
      <c r="C465" s="46" t="s">
        <v>18</v>
      </c>
      <c r="D465" s="46" t="s">
        <v>22</v>
      </c>
      <c r="E465" s="49">
        <v>45.38</v>
      </c>
      <c r="F465" s="48">
        <v>3</v>
      </c>
      <c r="G465" s="78">
        <f t="shared" si="7"/>
        <v>136.14000000000001</v>
      </c>
      <c r="H465" s="120">
        <v>43513</v>
      </c>
      <c r="I465" s="50">
        <v>0.56527777777777777</v>
      </c>
      <c r="J465" s="46" t="s">
        <v>15</v>
      </c>
      <c r="K465" s="51">
        <v>7.2</v>
      </c>
      <c r="L465" s="122" t="str">
        <f>IF(AND(Tabla_Ventas[[#This Row],[VENTA TOTAL]]&gt;=30,Tabla_Ventas[[#This Row],[TIPO DE CLIENTE/ Customer type]]="Member"),"PARTICIPA","NO PARTICIPA")</f>
        <v>NO PARTICIPA</v>
      </c>
    </row>
    <row r="466" spans="1:12" ht="19" x14ac:dyDescent="0.25">
      <c r="A466" s="45">
        <v>389702397</v>
      </c>
      <c r="B466" s="46" t="s">
        <v>16</v>
      </c>
      <c r="C466" s="46" t="s">
        <v>18</v>
      </c>
      <c r="D466" s="46" t="s">
        <v>20</v>
      </c>
      <c r="E466" s="49">
        <v>83.66</v>
      </c>
      <c r="F466" s="48">
        <v>5</v>
      </c>
      <c r="G466" s="78">
        <f t="shared" si="7"/>
        <v>418.29999999999995</v>
      </c>
      <c r="H466" s="120">
        <v>43517</v>
      </c>
      <c r="I466" s="50">
        <v>0.43472222222222223</v>
      </c>
      <c r="J466" s="46" t="s">
        <v>23</v>
      </c>
      <c r="K466" s="51">
        <v>7.2</v>
      </c>
      <c r="L466" s="122" t="str">
        <f>IF(AND(Tabla_Ventas[[#This Row],[VENTA TOTAL]]&gt;=30,Tabla_Ventas[[#This Row],[TIPO DE CLIENTE/ Customer type]]="Member"),"PARTICIPA","NO PARTICIPA")</f>
        <v>NO PARTICIPA</v>
      </c>
    </row>
    <row r="467" spans="1:12" ht="19" x14ac:dyDescent="0.25">
      <c r="A467" s="45">
        <v>825945922</v>
      </c>
      <c r="B467" s="46" t="s">
        <v>12</v>
      </c>
      <c r="C467" s="46" t="s">
        <v>18</v>
      </c>
      <c r="D467" s="46" t="s">
        <v>14</v>
      </c>
      <c r="E467" s="49">
        <v>25.31</v>
      </c>
      <c r="F467" s="48">
        <v>2</v>
      </c>
      <c r="G467" s="78">
        <f t="shared" si="7"/>
        <v>50.62</v>
      </c>
      <c r="H467" s="120">
        <v>43499</v>
      </c>
      <c r="I467" s="50">
        <v>0.80972222222222223</v>
      </c>
      <c r="J467" s="46" t="s">
        <v>17</v>
      </c>
      <c r="K467" s="51">
        <v>7.2</v>
      </c>
      <c r="L467" s="122" t="str">
        <f>IF(AND(Tabla_Ventas[[#This Row],[VENTA TOTAL]]&gt;=30,Tabla_Ventas[[#This Row],[TIPO DE CLIENTE/ Customer type]]="Member"),"PARTICIPA","NO PARTICIPA")</f>
        <v>NO PARTICIPA</v>
      </c>
    </row>
    <row r="468" spans="1:12" ht="19" x14ac:dyDescent="0.25">
      <c r="A468" s="45">
        <v>558605016</v>
      </c>
      <c r="B468" s="46" t="s">
        <v>19</v>
      </c>
      <c r="C468" s="46" t="s">
        <v>18</v>
      </c>
      <c r="D468" s="46" t="s">
        <v>25</v>
      </c>
      <c r="E468" s="49">
        <v>33.299999999999997</v>
      </c>
      <c r="F468" s="48">
        <v>9</v>
      </c>
      <c r="G468" s="78">
        <f t="shared" si="7"/>
        <v>299.7</v>
      </c>
      <c r="H468" s="120">
        <v>43528</v>
      </c>
      <c r="I468" s="50">
        <v>0.64374999999999993</v>
      </c>
      <c r="J468" s="46" t="s">
        <v>17</v>
      </c>
      <c r="K468" s="51">
        <v>7.2</v>
      </c>
      <c r="L468" s="122" t="str">
        <f>IF(AND(Tabla_Ventas[[#This Row],[VENTA TOTAL]]&gt;=30,Tabla_Ventas[[#This Row],[TIPO DE CLIENTE/ Customer type]]="Member"),"PARTICIPA","NO PARTICIPA")</f>
        <v>NO PARTICIPA</v>
      </c>
    </row>
    <row r="469" spans="1:12" ht="19" x14ac:dyDescent="0.25">
      <c r="A469" s="45">
        <v>365640515</v>
      </c>
      <c r="B469" s="46" t="s">
        <v>19</v>
      </c>
      <c r="C469" s="46" t="s">
        <v>18</v>
      </c>
      <c r="D469" s="46" t="s">
        <v>21</v>
      </c>
      <c r="E469" s="47">
        <v>46.95</v>
      </c>
      <c r="F469" s="48">
        <v>5</v>
      </c>
      <c r="G469" s="78">
        <f t="shared" si="7"/>
        <v>234.75</v>
      </c>
      <c r="H469" s="120">
        <v>43801</v>
      </c>
      <c r="I469" s="50">
        <v>0.43402777777777773</v>
      </c>
      <c r="J469" s="46" t="s">
        <v>17</v>
      </c>
      <c r="K469" s="51">
        <v>7.1</v>
      </c>
      <c r="L469" s="122" t="str">
        <f>IF(AND(Tabla_Ventas[[#This Row],[VENTA TOTAL]]&gt;=30,Tabla_Ventas[[#This Row],[TIPO DE CLIENTE/ Customer type]]="Member"),"PARTICIPA","NO PARTICIPA")</f>
        <v>NO PARTICIPA</v>
      </c>
    </row>
    <row r="470" spans="1:12" ht="19" x14ac:dyDescent="0.25">
      <c r="A470" s="45">
        <v>565805980</v>
      </c>
      <c r="B470" s="46" t="s">
        <v>12</v>
      </c>
      <c r="C470" s="46" t="s">
        <v>13</v>
      </c>
      <c r="D470" s="46" t="s">
        <v>25</v>
      </c>
      <c r="E470" s="47">
        <v>47.38</v>
      </c>
      <c r="F470" s="48">
        <v>4</v>
      </c>
      <c r="G470" s="78">
        <f t="shared" si="7"/>
        <v>189.52</v>
      </c>
      <c r="H470" s="120">
        <v>43488</v>
      </c>
      <c r="I470" s="50">
        <v>0.43402777777777773</v>
      </c>
      <c r="J470" s="46" t="s">
        <v>23</v>
      </c>
      <c r="K470" s="51">
        <v>7.1</v>
      </c>
      <c r="L470" s="122" t="str">
        <f>IF(AND(Tabla_Ventas[[#This Row],[VENTA TOTAL]]&gt;=30,Tabla_Ventas[[#This Row],[TIPO DE CLIENTE/ Customer type]]="Member"),"PARTICIPA","NO PARTICIPA")</f>
        <v>PARTICIPA</v>
      </c>
    </row>
    <row r="471" spans="1:12" ht="19" x14ac:dyDescent="0.25">
      <c r="A471" s="45">
        <v>225981496</v>
      </c>
      <c r="B471" s="46" t="s">
        <v>12</v>
      </c>
      <c r="C471" s="46" t="s">
        <v>18</v>
      </c>
      <c r="D471" s="46" t="s">
        <v>22</v>
      </c>
      <c r="E471" s="47">
        <v>27.02</v>
      </c>
      <c r="F471" s="48">
        <v>3</v>
      </c>
      <c r="G471" s="78">
        <f t="shared" si="7"/>
        <v>81.06</v>
      </c>
      <c r="H471" s="120">
        <v>43499</v>
      </c>
      <c r="I471" s="50">
        <v>0.54236111111111118</v>
      </c>
      <c r="J471" s="46" t="s">
        <v>15</v>
      </c>
      <c r="K471" s="51">
        <v>7.1</v>
      </c>
      <c r="L471" s="122" t="str">
        <f>IF(AND(Tabla_Ventas[[#This Row],[VENTA TOTAL]]&gt;=30,Tabla_Ventas[[#This Row],[TIPO DE CLIENTE/ Customer type]]="Member"),"PARTICIPA","NO PARTICIPA")</f>
        <v>NO PARTICIPA</v>
      </c>
    </row>
    <row r="472" spans="1:12" ht="19" x14ac:dyDescent="0.25">
      <c r="A472" s="45">
        <v>526868552</v>
      </c>
      <c r="B472" s="46" t="s">
        <v>12</v>
      </c>
      <c r="C472" s="46" t="s">
        <v>13</v>
      </c>
      <c r="D472" s="46" t="s">
        <v>25</v>
      </c>
      <c r="E472" s="47">
        <v>21.82</v>
      </c>
      <c r="F472" s="48">
        <v>10</v>
      </c>
      <c r="G472" s="78">
        <f t="shared" si="7"/>
        <v>218.2</v>
      </c>
      <c r="H472" s="120">
        <v>43472</v>
      </c>
      <c r="I472" s="50">
        <v>0.73333333333333339</v>
      </c>
      <c r="J472" s="46" t="s">
        <v>23</v>
      </c>
      <c r="K472" s="51">
        <v>7.1</v>
      </c>
      <c r="L472" s="122" t="str">
        <f>IF(AND(Tabla_Ventas[[#This Row],[VENTA TOTAL]]&gt;=30,Tabla_Ventas[[#This Row],[TIPO DE CLIENTE/ Customer type]]="Member"),"PARTICIPA","NO PARTICIPA")</f>
        <v>PARTICIPA</v>
      </c>
    </row>
    <row r="473" spans="1:12" ht="19" x14ac:dyDescent="0.25">
      <c r="A473" s="45">
        <v>316686352</v>
      </c>
      <c r="B473" s="46" t="s">
        <v>19</v>
      </c>
      <c r="C473" s="46" t="s">
        <v>13</v>
      </c>
      <c r="D473" s="46" t="s">
        <v>24</v>
      </c>
      <c r="E473" s="47">
        <v>36.36</v>
      </c>
      <c r="F473" s="48">
        <v>2</v>
      </c>
      <c r="G473" s="78">
        <f t="shared" si="7"/>
        <v>72.72</v>
      </c>
      <c r="H473" s="120">
        <v>43486</v>
      </c>
      <c r="I473" s="50">
        <v>0.41666666666666669</v>
      </c>
      <c r="J473" s="46" t="s">
        <v>23</v>
      </c>
      <c r="K473" s="51">
        <v>7.1</v>
      </c>
      <c r="L473" s="122" t="str">
        <f>IF(AND(Tabla_Ventas[[#This Row],[VENTA TOTAL]]&gt;=30,Tabla_Ventas[[#This Row],[TIPO DE CLIENTE/ Customer type]]="Member"),"PARTICIPA","NO PARTICIPA")</f>
        <v>PARTICIPA</v>
      </c>
    </row>
    <row r="474" spans="1:12" ht="19" x14ac:dyDescent="0.25">
      <c r="A474" s="45">
        <v>272279238</v>
      </c>
      <c r="B474" s="46" t="s">
        <v>12</v>
      </c>
      <c r="C474" s="46" t="s">
        <v>18</v>
      </c>
      <c r="D474" s="46" t="s">
        <v>24</v>
      </c>
      <c r="E474" s="47">
        <v>41.24</v>
      </c>
      <c r="F474" s="48">
        <v>4</v>
      </c>
      <c r="G474" s="78">
        <f t="shared" si="7"/>
        <v>164.96</v>
      </c>
      <c r="H474" s="120">
        <v>43515</v>
      </c>
      <c r="I474" s="50">
        <v>0.68263888888888891</v>
      </c>
      <c r="J474" s="46" t="s">
        <v>23</v>
      </c>
      <c r="K474" s="51">
        <v>7.1</v>
      </c>
      <c r="L474" s="122" t="str">
        <f>IF(AND(Tabla_Ventas[[#This Row],[VENTA TOTAL]]&gt;=30,Tabla_Ventas[[#This Row],[TIPO DE CLIENTE/ Customer type]]="Member"),"PARTICIPA","NO PARTICIPA")</f>
        <v>NO PARTICIPA</v>
      </c>
    </row>
    <row r="475" spans="1:12" ht="19" x14ac:dyDescent="0.25">
      <c r="A475" s="45">
        <v>878302331</v>
      </c>
      <c r="B475" s="46" t="s">
        <v>12</v>
      </c>
      <c r="C475" s="46" t="s">
        <v>13</v>
      </c>
      <c r="D475" s="46" t="s">
        <v>14</v>
      </c>
      <c r="E475" s="47">
        <v>54.55</v>
      </c>
      <c r="F475" s="48">
        <v>10</v>
      </c>
      <c r="G475" s="78">
        <f t="shared" si="7"/>
        <v>545.5</v>
      </c>
      <c r="H475" s="120">
        <v>43499</v>
      </c>
      <c r="I475" s="50">
        <v>0.47361111111111115</v>
      </c>
      <c r="J475" s="46" t="s">
        <v>15</v>
      </c>
      <c r="K475" s="51">
        <v>7.1</v>
      </c>
      <c r="L475" s="122" t="str">
        <f>IF(AND(Tabla_Ventas[[#This Row],[VENTA TOTAL]]&gt;=30,Tabla_Ventas[[#This Row],[TIPO DE CLIENTE/ Customer type]]="Member"),"PARTICIPA","NO PARTICIPA")</f>
        <v>PARTICIPA</v>
      </c>
    </row>
    <row r="476" spans="1:12" ht="19" x14ac:dyDescent="0.25">
      <c r="A476" s="45">
        <v>437533084</v>
      </c>
      <c r="B476" s="46" t="s">
        <v>16</v>
      </c>
      <c r="C476" s="46" t="s">
        <v>18</v>
      </c>
      <c r="D476" s="46" t="s">
        <v>22</v>
      </c>
      <c r="E476" s="47">
        <v>99.89</v>
      </c>
      <c r="F476" s="48">
        <v>2</v>
      </c>
      <c r="G476" s="78">
        <f t="shared" si="7"/>
        <v>199.78</v>
      </c>
      <c r="H476" s="120">
        <v>43522</v>
      </c>
      <c r="I476" s="50">
        <v>0.4916666666666667</v>
      </c>
      <c r="J476" s="46" t="s">
        <v>17</v>
      </c>
      <c r="K476" s="51">
        <v>7.1</v>
      </c>
      <c r="L476" s="122" t="str">
        <f>IF(AND(Tabla_Ventas[[#This Row],[VENTA TOTAL]]&gt;=30,Tabla_Ventas[[#This Row],[TIPO DE CLIENTE/ Customer type]]="Member"),"PARTICIPA","NO PARTICIPA")</f>
        <v>NO PARTICIPA</v>
      </c>
    </row>
    <row r="477" spans="1:12" ht="19" x14ac:dyDescent="0.25">
      <c r="A477" s="45">
        <v>719898991</v>
      </c>
      <c r="B477" s="46" t="s">
        <v>19</v>
      </c>
      <c r="C477" s="46" t="s">
        <v>13</v>
      </c>
      <c r="D477" s="46" t="s">
        <v>14</v>
      </c>
      <c r="E477" s="47">
        <v>91.41</v>
      </c>
      <c r="F477" s="48">
        <v>5</v>
      </c>
      <c r="G477" s="78">
        <f t="shared" si="7"/>
        <v>457.04999999999995</v>
      </c>
      <c r="H477" s="120">
        <v>43521</v>
      </c>
      <c r="I477" s="50">
        <v>0.66875000000000007</v>
      </c>
      <c r="J477" s="46" t="s">
        <v>17</v>
      </c>
      <c r="K477" s="51">
        <v>7.1</v>
      </c>
      <c r="L477" s="122" t="str">
        <f>IF(AND(Tabla_Ventas[[#This Row],[VENTA TOTAL]]&gt;=30,Tabla_Ventas[[#This Row],[TIPO DE CLIENTE/ Customer type]]="Member"),"PARTICIPA","NO PARTICIPA")</f>
        <v>PARTICIPA</v>
      </c>
    </row>
    <row r="478" spans="1:12" ht="19" x14ac:dyDescent="0.25">
      <c r="A478" s="45">
        <v>343870864</v>
      </c>
      <c r="B478" s="46" t="s">
        <v>12</v>
      </c>
      <c r="C478" s="46" t="s">
        <v>13</v>
      </c>
      <c r="D478" s="46" t="s">
        <v>20</v>
      </c>
      <c r="E478" s="47">
        <v>75.88</v>
      </c>
      <c r="F478" s="48">
        <v>1</v>
      </c>
      <c r="G478" s="78">
        <f t="shared" si="7"/>
        <v>75.88</v>
      </c>
      <c r="H478" s="120">
        <v>43468</v>
      </c>
      <c r="I478" s="50">
        <v>0.4375</v>
      </c>
      <c r="J478" s="46" t="s">
        <v>15</v>
      </c>
      <c r="K478" s="51">
        <v>7.1</v>
      </c>
      <c r="L478" s="122" t="str">
        <f>IF(AND(Tabla_Ventas[[#This Row],[VENTA TOTAL]]&gt;=30,Tabla_Ventas[[#This Row],[TIPO DE CLIENTE/ Customer type]]="Member"),"PARTICIPA","NO PARTICIPA")</f>
        <v>PARTICIPA</v>
      </c>
    </row>
    <row r="479" spans="1:12" ht="19" x14ac:dyDescent="0.25">
      <c r="A479" s="45">
        <v>740115257</v>
      </c>
      <c r="B479" s="46" t="s">
        <v>16</v>
      </c>
      <c r="C479" s="46" t="s">
        <v>18</v>
      </c>
      <c r="D479" s="46" t="s">
        <v>21</v>
      </c>
      <c r="E479" s="49">
        <v>24.74</v>
      </c>
      <c r="F479" s="48">
        <v>10</v>
      </c>
      <c r="G479" s="78">
        <f t="shared" si="7"/>
        <v>247.39999999999998</v>
      </c>
      <c r="H479" s="120">
        <v>43520</v>
      </c>
      <c r="I479" s="50">
        <v>0.6972222222222223</v>
      </c>
      <c r="J479" s="46" t="s">
        <v>23</v>
      </c>
      <c r="K479" s="51">
        <v>7.1</v>
      </c>
      <c r="L479" s="122" t="str">
        <f>IF(AND(Tabla_Ventas[[#This Row],[VENTA TOTAL]]&gt;=30,Tabla_Ventas[[#This Row],[TIPO DE CLIENTE/ Customer type]]="Member"),"PARTICIPA","NO PARTICIPA")</f>
        <v>NO PARTICIPA</v>
      </c>
    </row>
    <row r="480" spans="1:12" ht="19" x14ac:dyDescent="0.25">
      <c r="A480" s="45">
        <v>370960655</v>
      </c>
      <c r="B480" s="46" t="s">
        <v>16</v>
      </c>
      <c r="C480" s="46" t="s">
        <v>18</v>
      </c>
      <c r="D480" s="46" t="s">
        <v>22</v>
      </c>
      <c r="E480" s="49">
        <v>49.32</v>
      </c>
      <c r="F480" s="48">
        <v>6</v>
      </c>
      <c r="G480" s="78">
        <f t="shared" si="7"/>
        <v>295.92</v>
      </c>
      <c r="H480" s="120">
        <v>43474</v>
      </c>
      <c r="I480" s="50">
        <v>0.57361111111111118</v>
      </c>
      <c r="J480" s="46" t="s">
        <v>17</v>
      </c>
      <c r="K480" s="51">
        <v>7.1</v>
      </c>
      <c r="L480" s="122" t="str">
        <f>IF(AND(Tabla_Ventas[[#This Row],[VENTA TOTAL]]&gt;=30,Tabla_Ventas[[#This Row],[TIPO DE CLIENTE/ Customer type]]="Member"),"PARTICIPA","NO PARTICIPA")</f>
        <v>NO PARTICIPA</v>
      </c>
    </row>
    <row r="481" spans="1:12" ht="19" x14ac:dyDescent="0.25">
      <c r="A481" s="45">
        <v>418050656</v>
      </c>
      <c r="B481" s="46" t="s">
        <v>12</v>
      </c>
      <c r="C481" s="46" t="s">
        <v>18</v>
      </c>
      <c r="D481" s="46" t="s">
        <v>22</v>
      </c>
      <c r="E481" s="49">
        <v>25.56</v>
      </c>
      <c r="F481" s="48">
        <v>7</v>
      </c>
      <c r="G481" s="78">
        <f t="shared" si="7"/>
        <v>178.92</v>
      </c>
      <c r="H481" s="120">
        <v>43498</v>
      </c>
      <c r="I481" s="50">
        <v>0.86249999999999993</v>
      </c>
      <c r="J481" s="46" t="s">
        <v>23</v>
      </c>
      <c r="K481" s="51">
        <v>7.1</v>
      </c>
      <c r="L481" s="122" t="str">
        <f>IF(AND(Tabla_Ventas[[#This Row],[VENTA TOTAL]]&gt;=30,Tabla_Ventas[[#This Row],[TIPO DE CLIENTE/ Customer type]]="Member"),"PARTICIPA","NO PARTICIPA")</f>
        <v>NO PARTICIPA</v>
      </c>
    </row>
    <row r="482" spans="1:12" ht="19" x14ac:dyDescent="0.25">
      <c r="A482" s="45">
        <v>873146353</v>
      </c>
      <c r="B482" s="46" t="s">
        <v>19</v>
      </c>
      <c r="C482" s="46" t="s">
        <v>13</v>
      </c>
      <c r="D482" s="46" t="s">
        <v>24</v>
      </c>
      <c r="E482" s="49">
        <v>24.82</v>
      </c>
      <c r="F482" s="48">
        <v>7</v>
      </c>
      <c r="G482" s="78">
        <f t="shared" si="7"/>
        <v>173.74</v>
      </c>
      <c r="H482" s="120">
        <v>43512</v>
      </c>
      <c r="I482" s="50">
        <v>0.43958333333333338</v>
      </c>
      <c r="J482" s="46" t="s">
        <v>15</v>
      </c>
      <c r="K482" s="51">
        <v>7.1</v>
      </c>
      <c r="L482" s="122" t="str">
        <f>IF(AND(Tabla_Ventas[[#This Row],[VENTA TOTAL]]&gt;=30,Tabla_Ventas[[#This Row],[TIPO DE CLIENTE/ Customer type]]="Member"),"PARTICIPA","NO PARTICIPA")</f>
        <v>PARTICIPA</v>
      </c>
    </row>
    <row r="483" spans="1:12" ht="19" x14ac:dyDescent="0.25">
      <c r="A483" s="45">
        <v>641627288</v>
      </c>
      <c r="B483" s="46" t="s">
        <v>12</v>
      </c>
      <c r="C483" s="46" t="s">
        <v>18</v>
      </c>
      <c r="D483" s="46" t="s">
        <v>25</v>
      </c>
      <c r="E483" s="49">
        <v>99.92</v>
      </c>
      <c r="F483" s="48">
        <v>6</v>
      </c>
      <c r="G483" s="78">
        <f t="shared" si="7"/>
        <v>599.52</v>
      </c>
      <c r="H483" s="120">
        <v>43548</v>
      </c>
      <c r="I483" s="50">
        <v>0.56458333333333333</v>
      </c>
      <c r="J483" s="46" t="s">
        <v>17</v>
      </c>
      <c r="K483" s="51">
        <v>7.1</v>
      </c>
      <c r="L483" s="122" t="str">
        <f>IF(AND(Tabla_Ventas[[#This Row],[VENTA TOTAL]]&gt;=30,Tabla_Ventas[[#This Row],[TIPO DE CLIENTE/ Customer type]]="Member"),"PARTICIPA","NO PARTICIPA")</f>
        <v>NO PARTICIPA</v>
      </c>
    </row>
    <row r="484" spans="1:12" ht="19" x14ac:dyDescent="0.25">
      <c r="A484" s="45">
        <v>430023888</v>
      </c>
      <c r="B484" s="46" t="s">
        <v>12</v>
      </c>
      <c r="C484" s="46" t="s">
        <v>18</v>
      </c>
      <c r="D484" s="46" t="s">
        <v>21</v>
      </c>
      <c r="E484" s="49">
        <v>46.02</v>
      </c>
      <c r="F484" s="48">
        <v>6</v>
      </c>
      <c r="G484" s="78">
        <f t="shared" si="7"/>
        <v>276.12</v>
      </c>
      <c r="H484" s="120">
        <v>43503</v>
      </c>
      <c r="I484" s="50">
        <v>0.66319444444444442</v>
      </c>
      <c r="J484" s="46" t="s">
        <v>23</v>
      </c>
      <c r="K484" s="51">
        <v>7.1</v>
      </c>
      <c r="L484" s="122" t="str">
        <f>IF(AND(Tabla_Ventas[[#This Row],[VENTA TOTAL]]&gt;=30,Tabla_Ventas[[#This Row],[TIPO DE CLIENTE/ Customer type]]="Member"),"PARTICIPA","NO PARTICIPA")</f>
        <v>NO PARTICIPA</v>
      </c>
    </row>
    <row r="485" spans="1:12" ht="19" x14ac:dyDescent="0.25">
      <c r="A485" s="45">
        <v>129298530</v>
      </c>
      <c r="B485" s="46" t="s">
        <v>19</v>
      </c>
      <c r="C485" s="46" t="s">
        <v>13</v>
      </c>
      <c r="D485" s="46" t="s">
        <v>14</v>
      </c>
      <c r="E485" s="47">
        <v>62.62</v>
      </c>
      <c r="F485" s="48">
        <v>5</v>
      </c>
      <c r="G485" s="78">
        <f t="shared" si="7"/>
        <v>313.09999999999997</v>
      </c>
      <c r="H485" s="120">
        <v>43534</v>
      </c>
      <c r="I485" s="50">
        <v>0.80208333333333337</v>
      </c>
      <c r="J485" s="46" t="s">
        <v>17</v>
      </c>
      <c r="K485" s="51">
        <v>7</v>
      </c>
      <c r="L485" s="122" t="str">
        <f>IF(AND(Tabla_Ventas[[#This Row],[VENTA TOTAL]]&gt;=30,Tabla_Ventas[[#This Row],[TIPO DE CLIENTE/ Customer type]]="Member"),"PARTICIPA","NO PARTICIPA")</f>
        <v>PARTICIPA</v>
      </c>
    </row>
    <row r="486" spans="1:12" ht="19" x14ac:dyDescent="0.25">
      <c r="A486" s="45">
        <v>803835989</v>
      </c>
      <c r="B486" s="46" t="s">
        <v>12</v>
      </c>
      <c r="C486" s="46" t="s">
        <v>18</v>
      </c>
      <c r="D486" s="46" t="s">
        <v>25</v>
      </c>
      <c r="E486" s="47">
        <v>55.73</v>
      </c>
      <c r="F486" s="48">
        <v>6</v>
      </c>
      <c r="G486" s="78">
        <f t="shared" si="7"/>
        <v>334.38</v>
      </c>
      <c r="H486" s="120">
        <v>43520</v>
      </c>
      <c r="I486" s="50">
        <v>0.4548611111111111</v>
      </c>
      <c r="J486" s="46" t="s">
        <v>17</v>
      </c>
      <c r="K486" s="51">
        <v>7</v>
      </c>
      <c r="L486" s="122" t="str">
        <f>IF(AND(Tabla_Ventas[[#This Row],[VENTA TOTAL]]&gt;=30,Tabla_Ventas[[#This Row],[TIPO DE CLIENTE/ Customer type]]="Member"),"PARTICIPA","NO PARTICIPA")</f>
        <v>NO PARTICIPA</v>
      </c>
    </row>
    <row r="487" spans="1:12" ht="19" x14ac:dyDescent="0.25">
      <c r="A487" s="45">
        <v>101176199</v>
      </c>
      <c r="B487" s="46" t="s">
        <v>19</v>
      </c>
      <c r="C487" s="46" t="s">
        <v>18</v>
      </c>
      <c r="D487" s="46" t="s">
        <v>24</v>
      </c>
      <c r="E487" s="47">
        <v>45.79</v>
      </c>
      <c r="F487" s="48">
        <v>7</v>
      </c>
      <c r="G487" s="78">
        <f t="shared" si="7"/>
        <v>320.52999999999997</v>
      </c>
      <c r="H487" s="120">
        <v>43537</v>
      </c>
      <c r="I487" s="50">
        <v>0.8222222222222223</v>
      </c>
      <c r="J487" s="46" t="s">
        <v>15</v>
      </c>
      <c r="K487" s="51">
        <v>7</v>
      </c>
      <c r="L487" s="122" t="str">
        <f>IF(AND(Tabla_Ventas[[#This Row],[VENTA TOTAL]]&gt;=30,Tabla_Ventas[[#This Row],[TIPO DE CLIENTE/ Customer type]]="Member"),"PARTICIPA","NO PARTICIPA")</f>
        <v>NO PARTICIPA</v>
      </c>
    </row>
    <row r="488" spans="1:12" ht="19" x14ac:dyDescent="0.25">
      <c r="A488" s="45">
        <v>732045373</v>
      </c>
      <c r="B488" s="46" t="s">
        <v>16</v>
      </c>
      <c r="C488" s="46" t="s">
        <v>13</v>
      </c>
      <c r="D488" s="46" t="s">
        <v>25</v>
      </c>
      <c r="E488" s="47">
        <v>46.47</v>
      </c>
      <c r="F488" s="48">
        <v>4</v>
      </c>
      <c r="G488" s="78">
        <f t="shared" si="7"/>
        <v>185.88</v>
      </c>
      <c r="H488" s="120">
        <v>43679</v>
      </c>
      <c r="I488" s="50">
        <v>0.45347222222222222</v>
      </c>
      <c r="J488" s="46" t="s">
        <v>23</v>
      </c>
      <c r="K488" s="51">
        <v>7</v>
      </c>
      <c r="L488" s="122" t="str">
        <f>IF(AND(Tabla_Ventas[[#This Row],[VENTA TOTAL]]&gt;=30,Tabla_Ventas[[#This Row],[TIPO DE CLIENTE/ Customer type]]="Member"),"PARTICIPA","NO PARTICIPA")</f>
        <v>PARTICIPA</v>
      </c>
    </row>
    <row r="489" spans="1:12" ht="19" x14ac:dyDescent="0.25">
      <c r="A489" s="45">
        <v>731142199</v>
      </c>
      <c r="B489" s="46" t="s">
        <v>19</v>
      </c>
      <c r="C489" s="46" t="s">
        <v>13</v>
      </c>
      <c r="D489" s="46" t="s">
        <v>25</v>
      </c>
      <c r="E489" s="47">
        <v>35.54</v>
      </c>
      <c r="F489" s="48">
        <v>10</v>
      </c>
      <c r="G489" s="78">
        <f t="shared" si="7"/>
        <v>355.4</v>
      </c>
      <c r="H489" s="120">
        <v>43556</v>
      </c>
      <c r="I489" s="50">
        <v>0.56527777777777777</v>
      </c>
      <c r="J489" s="46" t="s">
        <v>17</v>
      </c>
      <c r="K489" s="51">
        <v>7</v>
      </c>
      <c r="L489" s="122" t="str">
        <f>IF(AND(Tabla_Ventas[[#This Row],[VENTA TOTAL]]&gt;=30,Tabla_Ventas[[#This Row],[TIPO DE CLIENTE/ Customer type]]="Member"),"PARTICIPA","NO PARTICIPA")</f>
        <v>PARTICIPA</v>
      </c>
    </row>
    <row r="490" spans="1:12" ht="19" x14ac:dyDescent="0.25">
      <c r="A490" s="45">
        <v>139200155</v>
      </c>
      <c r="B490" s="46" t="s">
        <v>16</v>
      </c>
      <c r="C490" s="46" t="s">
        <v>13</v>
      </c>
      <c r="D490" s="46" t="s">
        <v>21</v>
      </c>
      <c r="E490" s="47">
        <v>40.299999999999997</v>
      </c>
      <c r="F490" s="48">
        <v>10</v>
      </c>
      <c r="G490" s="78">
        <f t="shared" si="7"/>
        <v>403</v>
      </c>
      <c r="H490" s="120">
        <v>43489</v>
      </c>
      <c r="I490" s="50">
        <v>0.73402777777777783</v>
      </c>
      <c r="J490" s="46" t="s">
        <v>15</v>
      </c>
      <c r="K490" s="51">
        <v>7</v>
      </c>
      <c r="L490" s="122" t="str">
        <f>IF(AND(Tabla_Ventas[[#This Row],[VENTA TOTAL]]&gt;=30,Tabla_Ventas[[#This Row],[TIPO DE CLIENTE/ Customer type]]="Member"),"PARTICIPA","NO PARTICIPA")</f>
        <v>PARTICIPA</v>
      </c>
    </row>
    <row r="491" spans="1:12" ht="19" x14ac:dyDescent="0.25">
      <c r="A491" s="45">
        <v>667235919</v>
      </c>
      <c r="B491" s="46" t="s">
        <v>19</v>
      </c>
      <c r="C491" s="46" t="s">
        <v>13</v>
      </c>
      <c r="D491" s="46" t="s">
        <v>22</v>
      </c>
      <c r="E491" s="47">
        <v>96.7</v>
      </c>
      <c r="F491" s="48">
        <v>5</v>
      </c>
      <c r="G491" s="78">
        <f t="shared" si="7"/>
        <v>483.5</v>
      </c>
      <c r="H491" s="120">
        <v>43479</v>
      </c>
      <c r="I491" s="50">
        <v>0.53611111111111109</v>
      </c>
      <c r="J491" s="46" t="s">
        <v>17</v>
      </c>
      <c r="K491" s="51">
        <v>7</v>
      </c>
      <c r="L491" s="122" t="str">
        <f>IF(AND(Tabla_Ventas[[#This Row],[VENTA TOTAL]]&gt;=30,Tabla_Ventas[[#This Row],[TIPO DE CLIENTE/ Customer type]]="Member"),"PARTICIPA","NO PARTICIPA")</f>
        <v>PARTICIPA</v>
      </c>
    </row>
    <row r="492" spans="1:12" ht="19" x14ac:dyDescent="0.25">
      <c r="A492" s="45">
        <v>198847132</v>
      </c>
      <c r="B492" s="46" t="s">
        <v>16</v>
      </c>
      <c r="C492" s="46" t="s">
        <v>13</v>
      </c>
      <c r="D492" s="46" t="s">
        <v>22</v>
      </c>
      <c r="E492" s="47">
        <v>40.61</v>
      </c>
      <c r="F492" s="48">
        <v>9</v>
      </c>
      <c r="G492" s="78">
        <f t="shared" si="7"/>
        <v>365.49</v>
      </c>
      <c r="H492" s="120">
        <v>43497</v>
      </c>
      <c r="I492" s="50">
        <v>0.56944444444444442</v>
      </c>
      <c r="J492" s="46" t="s">
        <v>23</v>
      </c>
      <c r="K492" s="51">
        <v>7</v>
      </c>
      <c r="L492" s="122" t="str">
        <f>IF(AND(Tabla_Ventas[[#This Row],[VENTA TOTAL]]&gt;=30,Tabla_Ventas[[#This Row],[TIPO DE CLIENTE/ Customer type]]="Member"),"PARTICIPA","NO PARTICIPA")</f>
        <v>PARTICIPA</v>
      </c>
    </row>
    <row r="493" spans="1:12" ht="19" x14ac:dyDescent="0.25">
      <c r="A493" s="45">
        <v>549964200</v>
      </c>
      <c r="B493" s="46" t="s">
        <v>12</v>
      </c>
      <c r="C493" s="46" t="s">
        <v>13</v>
      </c>
      <c r="D493" s="46" t="s">
        <v>24</v>
      </c>
      <c r="E493" s="47">
        <v>17.04</v>
      </c>
      <c r="F493" s="48">
        <v>4</v>
      </c>
      <c r="G493" s="78">
        <f t="shared" si="7"/>
        <v>68.16</v>
      </c>
      <c r="H493" s="120">
        <v>43532</v>
      </c>
      <c r="I493" s="50">
        <v>0.84375</v>
      </c>
      <c r="J493" s="46" t="s">
        <v>17</v>
      </c>
      <c r="K493" s="51">
        <v>7</v>
      </c>
      <c r="L493" s="122" t="str">
        <f>IF(AND(Tabla_Ventas[[#This Row],[VENTA TOTAL]]&gt;=30,Tabla_Ventas[[#This Row],[TIPO DE CLIENTE/ Customer type]]="Member"),"PARTICIPA","NO PARTICIPA")</f>
        <v>PARTICIPA</v>
      </c>
    </row>
    <row r="494" spans="1:12" ht="19" x14ac:dyDescent="0.25">
      <c r="A494" s="45">
        <v>493656248</v>
      </c>
      <c r="B494" s="46" t="s">
        <v>12</v>
      </c>
      <c r="C494" s="46" t="s">
        <v>13</v>
      </c>
      <c r="D494" s="46" t="s">
        <v>14</v>
      </c>
      <c r="E494" s="47">
        <v>36.979999999999997</v>
      </c>
      <c r="F494" s="48">
        <v>10</v>
      </c>
      <c r="G494" s="78">
        <f t="shared" si="7"/>
        <v>369.79999999999995</v>
      </c>
      <c r="H494" s="120">
        <v>43466</v>
      </c>
      <c r="I494" s="50">
        <v>0.82500000000000007</v>
      </c>
      <c r="J494" s="46" t="s">
        <v>15</v>
      </c>
      <c r="K494" s="51">
        <v>7</v>
      </c>
      <c r="L494" s="122" t="str">
        <f>IF(AND(Tabla_Ventas[[#This Row],[VENTA TOTAL]]&gt;=30,Tabla_Ventas[[#This Row],[TIPO DE CLIENTE/ Customer type]]="Member"),"PARTICIPA","NO PARTICIPA")</f>
        <v>PARTICIPA</v>
      </c>
    </row>
    <row r="495" spans="1:12" ht="19" x14ac:dyDescent="0.25">
      <c r="A495" s="45">
        <v>291215991</v>
      </c>
      <c r="B495" s="46" t="s">
        <v>16</v>
      </c>
      <c r="C495" s="46" t="s">
        <v>13</v>
      </c>
      <c r="D495" s="46" t="s">
        <v>20</v>
      </c>
      <c r="E495" s="47">
        <v>61.29</v>
      </c>
      <c r="F495" s="48">
        <v>5</v>
      </c>
      <c r="G495" s="78">
        <f t="shared" si="7"/>
        <v>306.45</v>
      </c>
      <c r="H495" s="120">
        <v>43553</v>
      </c>
      <c r="I495" s="50">
        <v>0.60277777777777775</v>
      </c>
      <c r="J495" s="46" t="s">
        <v>23</v>
      </c>
      <c r="K495" s="51">
        <v>7</v>
      </c>
      <c r="L495" s="122" t="str">
        <f>IF(AND(Tabla_Ventas[[#This Row],[VENTA TOTAL]]&gt;=30,Tabla_Ventas[[#This Row],[TIPO DE CLIENTE/ Customer type]]="Member"),"PARTICIPA","NO PARTICIPA")</f>
        <v>PARTICIPA</v>
      </c>
    </row>
    <row r="496" spans="1:12" ht="19" x14ac:dyDescent="0.25">
      <c r="A496" s="45">
        <v>287831405</v>
      </c>
      <c r="B496" s="46" t="s">
        <v>19</v>
      </c>
      <c r="C496" s="46" t="s">
        <v>18</v>
      </c>
      <c r="D496" s="46" t="s">
        <v>20</v>
      </c>
      <c r="E496" s="47">
        <v>25.43</v>
      </c>
      <c r="F496" s="48">
        <v>6</v>
      </c>
      <c r="G496" s="78">
        <f t="shared" si="7"/>
        <v>152.57999999999998</v>
      </c>
      <c r="H496" s="120">
        <v>43801</v>
      </c>
      <c r="I496" s="50">
        <v>0.79236111111111107</v>
      </c>
      <c r="J496" s="46" t="s">
        <v>17</v>
      </c>
      <c r="K496" s="51">
        <v>7</v>
      </c>
      <c r="L496" s="122" t="str">
        <f>IF(AND(Tabla_Ventas[[#This Row],[VENTA TOTAL]]&gt;=30,Tabla_Ventas[[#This Row],[TIPO DE CLIENTE/ Customer type]]="Member"),"PARTICIPA","NO PARTICIPA")</f>
        <v>NO PARTICIPA</v>
      </c>
    </row>
    <row r="497" spans="1:12" ht="19" x14ac:dyDescent="0.25">
      <c r="A497" s="45">
        <v>375723056</v>
      </c>
      <c r="B497" s="46" t="s">
        <v>16</v>
      </c>
      <c r="C497" s="46" t="s">
        <v>18</v>
      </c>
      <c r="D497" s="46" t="s">
        <v>14</v>
      </c>
      <c r="E497" s="47">
        <v>63.06</v>
      </c>
      <c r="F497" s="48">
        <v>3</v>
      </c>
      <c r="G497" s="78">
        <f t="shared" si="7"/>
        <v>189.18</v>
      </c>
      <c r="H497" s="120">
        <v>43484</v>
      </c>
      <c r="I497" s="50">
        <v>0.66527777777777775</v>
      </c>
      <c r="J497" s="46" t="s">
        <v>17</v>
      </c>
      <c r="K497" s="51">
        <v>7</v>
      </c>
      <c r="L497" s="122" t="str">
        <f>IF(AND(Tabla_Ventas[[#This Row],[VENTA TOTAL]]&gt;=30,Tabla_Ventas[[#This Row],[TIPO DE CLIENTE/ Customer type]]="Member"),"PARTICIPA","NO PARTICIPA")</f>
        <v>NO PARTICIPA</v>
      </c>
    </row>
    <row r="498" spans="1:12" ht="19" x14ac:dyDescent="0.25">
      <c r="A498" s="45">
        <v>589028023</v>
      </c>
      <c r="B498" s="46" t="s">
        <v>19</v>
      </c>
      <c r="C498" s="46" t="s">
        <v>13</v>
      </c>
      <c r="D498" s="46" t="s">
        <v>24</v>
      </c>
      <c r="E498" s="49">
        <v>83.77</v>
      </c>
      <c r="F498" s="48">
        <v>2</v>
      </c>
      <c r="G498" s="78">
        <f t="shared" si="7"/>
        <v>167.54</v>
      </c>
      <c r="H498" s="120">
        <v>43480</v>
      </c>
      <c r="I498" s="50">
        <v>0.45416666666666666</v>
      </c>
      <c r="J498" s="46" t="s">
        <v>15</v>
      </c>
      <c r="K498" s="51">
        <v>7</v>
      </c>
      <c r="L498" s="122" t="str">
        <f>IF(AND(Tabla_Ventas[[#This Row],[VENTA TOTAL]]&gt;=30,Tabla_Ventas[[#This Row],[TIPO DE CLIENTE/ Customer type]]="Member"),"PARTICIPA","NO PARTICIPA")</f>
        <v>PARTICIPA</v>
      </c>
    </row>
    <row r="499" spans="1:12" ht="19" x14ac:dyDescent="0.25">
      <c r="A499" s="45">
        <v>320852052</v>
      </c>
      <c r="B499" s="46" t="s">
        <v>12</v>
      </c>
      <c r="C499" s="46" t="s">
        <v>18</v>
      </c>
      <c r="D499" s="46" t="s">
        <v>14</v>
      </c>
      <c r="E499" s="49">
        <v>34.81</v>
      </c>
      <c r="F499" s="48">
        <v>1</v>
      </c>
      <c r="G499" s="78">
        <f t="shared" si="7"/>
        <v>34.81</v>
      </c>
      <c r="H499" s="120">
        <v>43479</v>
      </c>
      <c r="I499" s="50">
        <v>0.42430555555555555</v>
      </c>
      <c r="J499" s="46" t="s">
        <v>15</v>
      </c>
      <c r="K499" s="51">
        <v>7</v>
      </c>
      <c r="L499" s="122" t="str">
        <f>IF(AND(Tabla_Ventas[[#This Row],[VENTA TOTAL]]&gt;=30,Tabla_Ventas[[#This Row],[TIPO DE CLIENTE/ Customer type]]="Member"),"PARTICIPA","NO PARTICIPA")</f>
        <v>NO PARTICIPA</v>
      </c>
    </row>
    <row r="500" spans="1:12" ht="19" x14ac:dyDescent="0.25">
      <c r="A500" s="45">
        <v>807147833</v>
      </c>
      <c r="B500" s="46" t="s">
        <v>19</v>
      </c>
      <c r="C500" s="46" t="s">
        <v>13</v>
      </c>
      <c r="D500" s="46" t="s">
        <v>21</v>
      </c>
      <c r="E500" s="49">
        <v>17.420000000000002</v>
      </c>
      <c r="F500" s="48">
        <v>10</v>
      </c>
      <c r="G500" s="78">
        <f t="shared" si="7"/>
        <v>174.20000000000002</v>
      </c>
      <c r="H500" s="120">
        <v>43518</v>
      </c>
      <c r="I500" s="50">
        <v>0.52083333333333337</v>
      </c>
      <c r="J500" s="46" t="s">
        <v>17</v>
      </c>
      <c r="K500" s="51">
        <v>7</v>
      </c>
      <c r="L500" s="122" t="str">
        <f>IF(AND(Tabla_Ventas[[#This Row],[VENTA TOTAL]]&gt;=30,Tabla_Ventas[[#This Row],[TIPO DE CLIENTE/ Customer type]]="Member"),"PARTICIPA","NO PARTICIPA")</f>
        <v>PARTICIPA</v>
      </c>
    </row>
    <row r="501" spans="1:12" ht="19" x14ac:dyDescent="0.25">
      <c r="A501" s="45">
        <v>848956252</v>
      </c>
      <c r="B501" s="46" t="s">
        <v>16</v>
      </c>
      <c r="C501" s="46" t="s">
        <v>13</v>
      </c>
      <c r="D501" s="46" t="s">
        <v>25</v>
      </c>
      <c r="E501" s="49">
        <v>86.27</v>
      </c>
      <c r="F501" s="48">
        <v>1</v>
      </c>
      <c r="G501" s="78">
        <f t="shared" si="7"/>
        <v>86.27</v>
      </c>
      <c r="H501" s="120">
        <v>43516</v>
      </c>
      <c r="I501" s="50">
        <v>0.55833333333333335</v>
      </c>
      <c r="J501" s="46" t="s">
        <v>17</v>
      </c>
      <c r="K501" s="51">
        <v>7</v>
      </c>
      <c r="L501" s="122" t="str">
        <f>IF(AND(Tabla_Ventas[[#This Row],[VENTA TOTAL]]&gt;=30,Tabla_Ventas[[#This Row],[TIPO DE CLIENTE/ Customer type]]="Member"),"PARTICIPA","NO PARTICIPA")</f>
        <v>PARTICIPA</v>
      </c>
    </row>
    <row r="502" spans="1:12" ht="19" x14ac:dyDescent="0.25">
      <c r="A502" s="45">
        <v>533665566</v>
      </c>
      <c r="B502" s="46" t="s">
        <v>12</v>
      </c>
      <c r="C502" s="46" t="s">
        <v>18</v>
      </c>
      <c r="D502" s="46" t="s">
        <v>25</v>
      </c>
      <c r="E502" s="49">
        <v>51.07</v>
      </c>
      <c r="F502" s="48">
        <v>7</v>
      </c>
      <c r="G502" s="78">
        <f t="shared" si="7"/>
        <v>357.49</v>
      </c>
      <c r="H502" s="120">
        <v>43477</v>
      </c>
      <c r="I502" s="50">
        <v>0.48749999999999999</v>
      </c>
      <c r="J502" s="46" t="s">
        <v>23</v>
      </c>
      <c r="K502" s="51">
        <v>7</v>
      </c>
      <c r="L502" s="122" t="str">
        <f>IF(AND(Tabla_Ventas[[#This Row],[VENTA TOTAL]]&gt;=30,Tabla_Ventas[[#This Row],[TIPO DE CLIENTE/ Customer type]]="Member"),"PARTICIPA","NO PARTICIPA")</f>
        <v>NO PARTICIPA</v>
      </c>
    </row>
    <row r="503" spans="1:12" ht="19" x14ac:dyDescent="0.25">
      <c r="A503" s="45">
        <v>181826255</v>
      </c>
      <c r="B503" s="46" t="s">
        <v>12</v>
      </c>
      <c r="C503" s="46" t="s">
        <v>18</v>
      </c>
      <c r="D503" s="46" t="s">
        <v>25</v>
      </c>
      <c r="E503" s="49">
        <v>16.37</v>
      </c>
      <c r="F503" s="48">
        <v>6</v>
      </c>
      <c r="G503" s="78">
        <f t="shared" si="7"/>
        <v>98.22</v>
      </c>
      <c r="H503" s="120">
        <v>43504</v>
      </c>
      <c r="I503" s="50">
        <v>0.45694444444444443</v>
      </c>
      <c r="J503" s="46" t="s">
        <v>23</v>
      </c>
      <c r="K503" s="51">
        <v>7</v>
      </c>
      <c r="L503" s="122" t="str">
        <f>IF(AND(Tabla_Ventas[[#This Row],[VENTA TOTAL]]&gt;=30,Tabla_Ventas[[#This Row],[TIPO DE CLIENTE/ Customer type]]="Member"),"PARTICIPA","NO PARTICIPA")</f>
        <v>NO PARTICIPA</v>
      </c>
    </row>
    <row r="504" spans="1:12" ht="19" x14ac:dyDescent="0.25">
      <c r="A504" s="45">
        <v>883691285</v>
      </c>
      <c r="B504" s="46" t="s">
        <v>12</v>
      </c>
      <c r="C504" s="46" t="s">
        <v>13</v>
      </c>
      <c r="D504" s="46" t="s">
        <v>22</v>
      </c>
      <c r="E504" s="49">
        <v>49.92</v>
      </c>
      <c r="F504" s="48">
        <v>2</v>
      </c>
      <c r="G504" s="78">
        <f t="shared" si="7"/>
        <v>99.84</v>
      </c>
      <c r="H504" s="120">
        <v>43529</v>
      </c>
      <c r="I504" s="50">
        <v>0.49652777777777773</v>
      </c>
      <c r="J504" s="46" t="s">
        <v>15</v>
      </c>
      <c r="K504" s="51">
        <v>7</v>
      </c>
      <c r="L504" s="122" t="str">
        <f>IF(AND(Tabla_Ventas[[#This Row],[VENTA TOTAL]]&gt;=30,Tabla_Ventas[[#This Row],[TIPO DE CLIENTE/ Customer type]]="Member"),"PARTICIPA","NO PARTICIPA")</f>
        <v>PARTICIPA</v>
      </c>
    </row>
    <row r="505" spans="1:12" ht="19" x14ac:dyDescent="0.25">
      <c r="A505" s="45">
        <v>765266951</v>
      </c>
      <c r="B505" s="46" t="s">
        <v>19</v>
      </c>
      <c r="C505" s="46" t="s">
        <v>18</v>
      </c>
      <c r="D505" s="46" t="s">
        <v>14</v>
      </c>
      <c r="E505" s="47">
        <v>72.61</v>
      </c>
      <c r="F505" s="48">
        <v>6</v>
      </c>
      <c r="G505" s="78">
        <f t="shared" si="7"/>
        <v>435.65999999999997</v>
      </c>
      <c r="H505" s="120">
        <v>43466</v>
      </c>
      <c r="I505" s="50">
        <v>0.44375000000000003</v>
      </c>
      <c r="J505" s="46" t="s">
        <v>15</v>
      </c>
      <c r="K505" s="51">
        <v>6.9</v>
      </c>
      <c r="L505" s="122" t="str">
        <f>IF(AND(Tabla_Ventas[[#This Row],[VENTA TOTAL]]&gt;=30,Tabla_Ventas[[#This Row],[TIPO DE CLIENTE/ Customer type]]="Member"),"PARTICIPA","NO PARTICIPA")</f>
        <v>NO PARTICIPA</v>
      </c>
    </row>
    <row r="506" spans="1:12" ht="19" x14ac:dyDescent="0.25">
      <c r="A506" s="45">
        <v>380944661</v>
      </c>
      <c r="B506" s="46" t="s">
        <v>12</v>
      </c>
      <c r="C506" s="46" t="s">
        <v>13</v>
      </c>
      <c r="D506" s="46" t="s">
        <v>21</v>
      </c>
      <c r="E506" s="47">
        <v>65.94</v>
      </c>
      <c r="F506" s="48">
        <v>4</v>
      </c>
      <c r="G506" s="78">
        <f t="shared" si="7"/>
        <v>263.76</v>
      </c>
      <c r="H506" s="120">
        <v>43503</v>
      </c>
      <c r="I506" s="50">
        <v>0.54513888888888895</v>
      </c>
      <c r="J506" s="46" t="s">
        <v>15</v>
      </c>
      <c r="K506" s="51">
        <v>6.9</v>
      </c>
      <c r="L506" s="122" t="str">
        <f>IF(AND(Tabla_Ventas[[#This Row],[VENTA TOTAL]]&gt;=30,Tabla_Ventas[[#This Row],[TIPO DE CLIENTE/ Customer type]]="Member"),"PARTICIPA","NO PARTICIPA")</f>
        <v>PARTICIPA</v>
      </c>
    </row>
    <row r="507" spans="1:12" ht="19" x14ac:dyDescent="0.25">
      <c r="A507" s="45">
        <v>808650703</v>
      </c>
      <c r="B507" s="46" t="s">
        <v>12</v>
      </c>
      <c r="C507" s="46" t="s">
        <v>18</v>
      </c>
      <c r="D507" s="46" t="s">
        <v>25</v>
      </c>
      <c r="E507" s="47">
        <v>35.47</v>
      </c>
      <c r="F507" s="48">
        <v>4</v>
      </c>
      <c r="G507" s="78">
        <f t="shared" si="7"/>
        <v>141.88</v>
      </c>
      <c r="H507" s="120">
        <v>43538</v>
      </c>
      <c r="I507" s="50">
        <v>0.72361111111111109</v>
      </c>
      <c r="J507" s="46" t="s">
        <v>15</v>
      </c>
      <c r="K507" s="51">
        <v>6.9</v>
      </c>
      <c r="L507" s="122" t="str">
        <f>IF(AND(Tabla_Ventas[[#This Row],[VENTA TOTAL]]&gt;=30,Tabla_Ventas[[#This Row],[TIPO DE CLIENTE/ Customer type]]="Member"),"PARTICIPA","NO PARTICIPA")</f>
        <v>NO PARTICIPA</v>
      </c>
    </row>
    <row r="508" spans="1:12" ht="19" x14ac:dyDescent="0.25">
      <c r="A508" s="45">
        <v>593954461</v>
      </c>
      <c r="B508" s="46" t="s">
        <v>12</v>
      </c>
      <c r="C508" s="46" t="s">
        <v>13</v>
      </c>
      <c r="D508" s="46" t="s">
        <v>25</v>
      </c>
      <c r="E508" s="47">
        <v>74.86</v>
      </c>
      <c r="F508" s="48">
        <v>1</v>
      </c>
      <c r="G508" s="78">
        <f t="shared" si="7"/>
        <v>74.86</v>
      </c>
      <c r="H508" s="120">
        <v>43548</v>
      </c>
      <c r="I508" s="50">
        <v>0.61736111111111114</v>
      </c>
      <c r="J508" s="46" t="s">
        <v>23</v>
      </c>
      <c r="K508" s="51">
        <v>6.9</v>
      </c>
      <c r="L508" s="122" t="str">
        <f>IF(AND(Tabla_Ventas[[#This Row],[VENTA TOTAL]]&gt;=30,Tabla_Ventas[[#This Row],[TIPO DE CLIENTE/ Customer type]]="Member"),"PARTICIPA","NO PARTICIPA")</f>
        <v>PARTICIPA</v>
      </c>
    </row>
    <row r="509" spans="1:12" ht="19" x14ac:dyDescent="0.25">
      <c r="A509" s="45">
        <v>569714390</v>
      </c>
      <c r="B509" s="46" t="s">
        <v>16</v>
      </c>
      <c r="C509" s="46" t="s">
        <v>18</v>
      </c>
      <c r="D509" s="46" t="s">
        <v>14</v>
      </c>
      <c r="E509" s="47">
        <v>21.87</v>
      </c>
      <c r="F509" s="48">
        <v>2</v>
      </c>
      <c r="G509" s="78">
        <f t="shared" si="7"/>
        <v>43.74</v>
      </c>
      <c r="H509" s="120">
        <v>43490</v>
      </c>
      <c r="I509" s="50">
        <v>0.60347222222222219</v>
      </c>
      <c r="J509" s="46" t="s">
        <v>17</v>
      </c>
      <c r="K509" s="51">
        <v>6.9</v>
      </c>
      <c r="L509" s="122" t="str">
        <f>IF(AND(Tabla_Ventas[[#This Row],[VENTA TOTAL]]&gt;=30,Tabla_Ventas[[#This Row],[TIPO DE CLIENTE/ Customer type]]="Member"),"PARTICIPA","NO PARTICIPA")</f>
        <v>NO PARTICIPA</v>
      </c>
    </row>
    <row r="510" spans="1:12" ht="19" x14ac:dyDescent="0.25">
      <c r="A510" s="45">
        <v>741733559</v>
      </c>
      <c r="B510" s="46" t="s">
        <v>16</v>
      </c>
      <c r="C510" s="46" t="s">
        <v>18</v>
      </c>
      <c r="D510" s="46" t="s">
        <v>14</v>
      </c>
      <c r="E510" s="47">
        <v>67.27</v>
      </c>
      <c r="F510" s="48">
        <v>5</v>
      </c>
      <c r="G510" s="78">
        <f t="shared" si="7"/>
        <v>336.34999999999997</v>
      </c>
      <c r="H510" s="120">
        <v>43523</v>
      </c>
      <c r="I510" s="50">
        <v>0.7270833333333333</v>
      </c>
      <c r="J510" s="46" t="s">
        <v>23</v>
      </c>
      <c r="K510" s="51">
        <v>6.9</v>
      </c>
      <c r="L510" s="122" t="str">
        <f>IF(AND(Tabla_Ventas[[#This Row],[VENTA TOTAL]]&gt;=30,Tabla_Ventas[[#This Row],[TIPO DE CLIENTE/ Customer type]]="Member"),"PARTICIPA","NO PARTICIPA")</f>
        <v>NO PARTICIPA</v>
      </c>
    </row>
    <row r="511" spans="1:12" ht="19" x14ac:dyDescent="0.25">
      <c r="A511" s="45">
        <v>286757818</v>
      </c>
      <c r="B511" s="46" t="s">
        <v>16</v>
      </c>
      <c r="C511" s="46" t="s">
        <v>18</v>
      </c>
      <c r="D511" s="46" t="s">
        <v>22</v>
      </c>
      <c r="E511" s="47">
        <v>69.08</v>
      </c>
      <c r="F511" s="48">
        <v>2</v>
      </c>
      <c r="G511" s="78">
        <f t="shared" si="7"/>
        <v>138.16</v>
      </c>
      <c r="H511" s="120">
        <v>43496</v>
      </c>
      <c r="I511" s="50">
        <v>0.82500000000000007</v>
      </c>
      <c r="J511" s="46" t="s">
        <v>15</v>
      </c>
      <c r="K511" s="51">
        <v>6.9</v>
      </c>
      <c r="L511" s="122" t="str">
        <f>IF(AND(Tabla_Ventas[[#This Row],[VENTA TOTAL]]&gt;=30,Tabla_Ventas[[#This Row],[TIPO DE CLIENTE/ Customer type]]="Member"),"PARTICIPA","NO PARTICIPA")</f>
        <v>NO PARTICIPA</v>
      </c>
    </row>
    <row r="512" spans="1:12" ht="19" x14ac:dyDescent="0.25">
      <c r="A512" s="45">
        <v>767541907</v>
      </c>
      <c r="B512" s="46" t="s">
        <v>16</v>
      </c>
      <c r="C512" s="46" t="s">
        <v>13</v>
      </c>
      <c r="D512" s="46" t="s">
        <v>22</v>
      </c>
      <c r="E512" s="47">
        <v>29.56</v>
      </c>
      <c r="F512" s="48">
        <v>5</v>
      </c>
      <c r="G512" s="78">
        <f t="shared" si="7"/>
        <v>147.79999999999998</v>
      </c>
      <c r="H512" s="120">
        <v>43509</v>
      </c>
      <c r="I512" s="50">
        <v>0.70763888888888893</v>
      </c>
      <c r="J512" s="46" t="s">
        <v>23</v>
      </c>
      <c r="K512" s="51">
        <v>6.9</v>
      </c>
      <c r="L512" s="122" t="str">
        <f>IF(AND(Tabla_Ventas[[#This Row],[VENTA TOTAL]]&gt;=30,Tabla_Ventas[[#This Row],[TIPO DE CLIENTE/ Customer type]]="Member"),"PARTICIPA","NO PARTICIPA")</f>
        <v>PARTICIPA</v>
      </c>
    </row>
    <row r="513" spans="1:12" ht="19" x14ac:dyDescent="0.25">
      <c r="A513" s="45">
        <v>643387867</v>
      </c>
      <c r="B513" s="46" t="s">
        <v>19</v>
      </c>
      <c r="C513" s="46" t="s">
        <v>18</v>
      </c>
      <c r="D513" s="46" t="s">
        <v>25</v>
      </c>
      <c r="E513" s="47">
        <v>97.94</v>
      </c>
      <c r="F513" s="48">
        <v>1</v>
      </c>
      <c r="G513" s="78">
        <f t="shared" si="7"/>
        <v>97.94</v>
      </c>
      <c r="H513" s="120">
        <v>43531</v>
      </c>
      <c r="I513" s="50">
        <v>0.48888888888888887</v>
      </c>
      <c r="J513" s="46" t="s">
        <v>17</v>
      </c>
      <c r="K513" s="51">
        <v>6.9</v>
      </c>
      <c r="L513" s="122" t="str">
        <f>IF(AND(Tabla_Ventas[[#This Row],[VENTA TOTAL]]&gt;=30,Tabla_Ventas[[#This Row],[TIPO DE CLIENTE/ Customer type]]="Member"),"PARTICIPA","NO PARTICIPA")</f>
        <v>NO PARTICIPA</v>
      </c>
    </row>
    <row r="514" spans="1:12" ht="19" x14ac:dyDescent="0.25">
      <c r="A514" s="45">
        <v>134752619</v>
      </c>
      <c r="B514" s="46" t="s">
        <v>19</v>
      </c>
      <c r="C514" s="46" t="s">
        <v>13</v>
      </c>
      <c r="D514" s="46" t="s">
        <v>21</v>
      </c>
      <c r="E514" s="47">
        <v>19.32</v>
      </c>
      <c r="F514" s="48">
        <v>7</v>
      </c>
      <c r="G514" s="78">
        <f t="shared" si="7"/>
        <v>135.24</v>
      </c>
      <c r="H514" s="120">
        <v>43549</v>
      </c>
      <c r="I514" s="50">
        <v>0.78541666666666676</v>
      </c>
      <c r="J514" s="46" t="s">
        <v>23</v>
      </c>
      <c r="K514" s="51">
        <v>6.9</v>
      </c>
      <c r="L514" s="122" t="str">
        <f>IF(AND(Tabla_Ventas[[#This Row],[VENTA TOTAL]]&gt;=30,Tabla_Ventas[[#This Row],[TIPO DE CLIENTE/ Customer type]]="Member"),"PARTICIPA","NO PARTICIPA")</f>
        <v>PARTICIPA</v>
      </c>
    </row>
    <row r="515" spans="1:12" ht="19" x14ac:dyDescent="0.25">
      <c r="A515" s="45">
        <v>373094567</v>
      </c>
      <c r="B515" s="46" t="s">
        <v>16</v>
      </c>
      <c r="C515" s="46" t="s">
        <v>18</v>
      </c>
      <c r="D515" s="46" t="s">
        <v>24</v>
      </c>
      <c r="E515" s="49">
        <v>77.56</v>
      </c>
      <c r="F515" s="48">
        <v>10</v>
      </c>
      <c r="G515" s="78">
        <f t="shared" si="7"/>
        <v>775.6</v>
      </c>
      <c r="H515" s="120">
        <v>43538</v>
      </c>
      <c r="I515" s="50">
        <v>0.85763888888888884</v>
      </c>
      <c r="J515" s="46" t="s">
        <v>17</v>
      </c>
      <c r="K515" s="51">
        <v>6.9</v>
      </c>
      <c r="L515" s="122" t="str">
        <f>IF(AND(Tabla_Ventas[[#This Row],[VENTA TOTAL]]&gt;=30,Tabla_Ventas[[#This Row],[TIPO DE CLIENTE/ Customer type]]="Member"),"PARTICIPA","NO PARTICIPA")</f>
        <v>NO PARTICIPA</v>
      </c>
    </row>
    <row r="516" spans="1:12" ht="19" x14ac:dyDescent="0.25">
      <c r="A516" s="45">
        <v>327409673</v>
      </c>
      <c r="B516" s="46" t="s">
        <v>12</v>
      </c>
      <c r="C516" s="46" t="s">
        <v>13</v>
      </c>
      <c r="D516" s="46" t="s">
        <v>14</v>
      </c>
      <c r="E516" s="49">
        <v>72.599999999999994</v>
      </c>
      <c r="F516" s="48">
        <v>6</v>
      </c>
      <c r="G516" s="78">
        <f t="shared" ref="G516:G579" si="8">F516*E516</f>
        <v>435.59999999999997</v>
      </c>
      <c r="H516" s="120">
        <v>43478</v>
      </c>
      <c r="I516" s="50">
        <v>0.82708333333333339</v>
      </c>
      <c r="J516" s="46" t="s">
        <v>23</v>
      </c>
      <c r="K516" s="51">
        <v>6.9</v>
      </c>
      <c r="L516" s="122" t="str">
        <f>IF(AND(Tabla_Ventas[[#This Row],[VENTA TOTAL]]&gt;=30,Tabla_Ventas[[#This Row],[TIPO DE CLIENTE/ Customer type]]="Member"),"PARTICIPA","NO PARTICIPA")</f>
        <v>PARTICIPA</v>
      </c>
    </row>
    <row r="517" spans="1:12" ht="19" x14ac:dyDescent="0.25">
      <c r="A517" s="45">
        <v>182527000</v>
      </c>
      <c r="B517" s="46" t="s">
        <v>19</v>
      </c>
      <c r="C517" s="46" t="s">
        <v>13</v>
      </c>
      <c r="D517" s="46" t="s">
        <v>14</v>
      </c>
      <c r="E517" s="49">
        <v>27.04</v>
      </c>
      <c r="F517" s="48">
        <v>4</v>
      </c>
      <c r="G517" s="78">
        <f t="shared" si="8"/>
        <v>108.16</v>
      </c>
      <c r="H517" s="120">
        <v>43466</v>
      </c>
      <c r="I517" s="50">
        <v>0.85138888888888886</v>
      </c>
      <c r="J517" s="46" t="s">
        <v>17</v>
      </c>
      <c r="K517" s="51">
        <v>6.9</v>
      </c>
      <c r="L517" s="122" t="str">
        <f>IF(AND(Tabla_Ventas[[#This Row],[VENTA TOTAL]]&gt;=30,Tabla_Ventas[[#This Row],[TIPO DE CLIENTE/ Customer type]]="Member"),"PARTICIPA","NO PARTICIPA")</f>
        <v>PARTICIPA</v>
      </c>
    </row>
    <row r="518" spans="1:12" ht="19" x14ac:dyDescent="0.25">
      <c r="A518" s="45">
        <v>474338305</v>
      </c>
      <c r="B518" s="46" t="s">
        <v>16</v>
      </c>
      <c r="C518" s="46" t="s">
        <v>13</v>
      </c>
      <c r="D518" s="46" t="s">
        <v>22</v>
      </c>
      <c r="E518" s="49">
        <v>67.39</v>
      </c>
      <c r="F518" s="48">
        <v>7</v>
      </c>
      <c r="G518" s="78">
        <f t="shared" si="8"/>
        <v>471.73</v>
      </c>
      <c r="H518" s="120">
        <v>43547</v>
      </c>
      <c r="I518" s="50">
        <v>0.55763888888888891</v>
      </c>
      <c r="J518" s="46" t="s">
        <v>17</v>
      </c>
      <c r="K518" s="51">
        <v>6.9</v>
      </c>
      <c r="L518" s="122" t="str">
        <f>IF(AND(Tabla_Ventas[[#This Row],[VENTA TOTAL]]&gt;=30,Tabla_Ventas[[#This Row],[TIPO DE CLIENTE/ Customer type]]="Member"),"PARTICIPA","NO PARTICIPA")</f>
        <v>PARTICIPA</v>
      </c>
    </row>
    <row r="519" spans="1:12" ht="19" x14ac:dyDescent="0.25">
      <c r="A519" s="45">
        <v>720722436</v>
      </c>
      <c r="B519" s="46" t="s">
        <v>19</v>
      </c>
      <c r="C519" s="46" t="s">
        <v>18</v>
      </c>
      <c r="D519" s="46" t="s">
        <v>24</v>
      </c>
      <c r="E519" s="49">
        <v>66.52</v>
      </c>
      <c r="F519" s="48">
        <v>4</v>
      </c>
      <c r="G519" s="78">
        <f t="shared" si="8"/>
        <v>266.08</v>
      </c>
      <c r="H519" s="120">
        <v>43499</v>
      </c>
      <c r="I519" s="50">
        <v>0.7597222222222223</v>
      </c>
      <c r="J519" s="46" t="s">
        <v>17</v>
      </c>
      <c r="K519" s="51">
        <v>6.9</v>
      </c>
      <c r="L519" s="122" t="str">
        <f>IF(AND(Tabla_Ventas[[#This Row],[VENTA TOTAL]]&gt;=30,Tabla_Ventas[[#This Row],[TIPO DE CLIENTE/ Customer type]]="Member"),"PARTICIPA","NO PARTICIPA")</f>
        <v>NO PARTICIPA</v>
      </c>
    </row>
    <row r="520" spans="1:12" ht="19" x14ac:dyDescent="0.25">
      <c r="A520" s="45">
        <v>529563974</v>
      </c>
      <c r="B520" s="46" t="s">
        <v>16</v>
      </c>
      <c r="C520" s="46" t="s">
        <v>13</v>
      </c>
      <c r="D520" s="46" t="s">
        <v>21</v>
      </c>
      <c r="E520" s="47">
        <v>25.51</v>
      </c>
      <c r="F520" s="48">
        <v>4</v>
      </c>
      <c r="G520" s="78">
        <f t="shared" si="8"/>
        <v>102.04</v>
      </c>
      <c r="H520" s="120">
        <v>43533</v>
      </c>
      <c r="I520" s="50">
        <v>0.7104166666666667</v>
      </c>
      <c r="J520" s="46" t="s">
        <v>23</v>
      </c>
      <c r="K520" s="51">
        <v>6.8</v>
      </c>
      <c r="L520" s="122" t="str">
        <f>IF(AND(Tabla_Ventas[[#This Row],[VENTA TOTAL]]&gt;=30,Tabla_Ventas[[#This Row],[TIPO DE CLIENTE/ Customer type]]="Member"),"PARTICIPA","NO PARTICIPA")</f>
        <v>PARTICIPA</v>
      </c>
    </row>
    <row r="521" spans="1:12" ht="19" x14ac:dyDescent="0.25">
      <c r="A521" s="45">
        <v>232162483</v>
      </c>
      <c r="B521" s="46" t="s">
        <v>12</v>
      </c>
      <c r="C521" s="46" t="s">
        <v>13</v>
      </c>
      <c r="D521" s="46" t="s">
        <v>14</v>
      </c>
      <c r="E521" s="47">
        <v>68.12</v>
      </c>
      <c r="F521" s="48">
        <v>1</v>
      </c>
      <c r="G521" s="78">
        <f t="shared" si="8"/>
        <v>68.12</v>
      </c>
      <c r="H521" s="120">
        <v>43472</v>
      </c>
      <c r="I521" s="50">
        <v>0.51944444444444449</v>
      </c>
      <c r="J521" s="46" t="s">
        <v>17</v>
      </c>
      <c r="K521" s="51">
        <v>6.8</v>
      </c>
      <c r="L521" s="122" t="str">
        <f>IF(AND(Tabla_Ventas[[#This Row],[VENTA TOTAL]]&gt;=30,Tabla_Ventas[[#This Row],[TIPO DE CLIENTE/ Customer type]]="Member"),"PARTICIPA","NO PARTICIPA")</f>
        <v>PARTICIPA</v>
      </c>
    </row>
    <row r="522" spans="1:12" ht="19" x14ac:dyDescent="0.25">
      <c r="A522" s="45">
        <v>606804905</v>
      </c>
      <c r="B522" s="46" t="s">
        <v>12</v>
      </c>
      <c r="C522" s="46" t="s">
        <v>13</v>
      </c>
      <c r="D522" s="46" t="s">
        <v>14</v>
      </c>
      <c r="E522" s="47">
        <v>19.149999999999999</v>
      </c>
      <c r="F522" s="48">
        <v>6</v>
      </c>
      <c r="G522" s="78">
        <f t="shared" si="8"/>
        <v>114.89999999999999</v>
      </c>
      <c r="H522" s="120">
        <v>43494</v>
      </c>
      <c r="I522" s="50">
        <v>0.41736111111111113</v>
      </c>
      <c r="J522" s="46" t="s">
        <v>15</v>
      </c>
      <c r="K522" s="51">
        <v>6.8</v>
      </c>
      <c r="L522" s="122" t="str">
        <f>IF(AND(Tabla_Ventas[[#This Row],[VENTA TOTAL]]&gt;=30,Tabla_Ventas[[#This Row],[TIPO DE CLIENTE/ Customer type]]="Member"),"PARTICIPA","NO PARTICIPA")</f>
        <v>PARTICIPA</v>
      </c>
    </row>
    <row r="523" spans="1:12" ht="19" x14ac:dyDescent="0.25">
      <c r="A523" s="45">
        <v>604706476</v>
      </c>
      <c r="B523" s="46" t="s">
        <v>19</v>
      </c>
      <c r="C523" s="46" t="s">
        <v>13</v>
      </c>
      <c r="D523" s="46" t="s">
        <v>22</v>
      </c>
      <c r="E523" s="47">
        <v>17.940000000000001</v>
      </c>
      <c r="F523" s="48">
        <v>5</v>
      </c>
      <c r="G523" s="78">
        <f t="shared" si="8"/>
        <v>89.7</v>
      </c>
      <c r="H523" s="120">
        <v>43488</v>
      </c>
      <c r="I523" s="50">
        <v>0.58611111111111114</v>
      </c>
      <c r="J523" s="46" t="s">
        <v>17</v>
      </c>
      <c r="K523" s="51">
        <v>6.8</v>
      </c>
      <c r="L523" s="122" t="str">
        <f>IF(AND(Tabla_Ventas[[#This Row],[VENTA TOTAL]]&gt;=30,Tabla_Ventas[[#This Row],[TIPO DE CLIENTE/ Customer type]]="Member"),"PARTICIPA","NO PARTICIPA")</f>
        <v>PARTICIPA</v>
      </c>
    </row>
    <row r="524" spans="1:12" ht="19" x14ac:dyDescent="0.25">
      <c r="A524" s="45">
        <v>868811752</v>
      </c>
      <c r="B524" s="46" t="s">
        <v>16</v>
      </c>
      <c r="C524" s="46" t="s">
        <v>18</v>
      </c>
      <c r="D524" s="46" t="s">
        <v>25</v>
      </c>
      <c r="E524" s="47">
        <v>22.02</v>
      </c>
      <c r="F524" s="48">
        <v>9</v>
      </c>
      <c r="G524" s="78">
        <f t="shared" si="8"/>
        <v>198.18</v>
      </c>
      <c r="H524" s="120">
        <v>43503</v>
      </c>
      <c r="I524" s="50">
        <v>0.78333333333333333</v>
      </c>
      <c r="J524" s="46" t="s">
        <v>23</v>
      </c>
      <c r="K524" s="51">
        <v>6.8</v>
      </c>
      <c r="L524" s="122" t="str">
        <f>IF(AND(Tabla_Ventas[[#This Row],[VENTA TOTAL]]&gt;=30,Tabla_Ventas[[#This Row],[TIPO DE CLIENTE/ Customer type]]="Member"),"PARTICIPA","NO PARTICIPA")</f>
        <v>NO PARTICIPA</v>
      </c>
    </row>
    <row r="525" spans="1:12" ht="19" x14ac:dyDescent="0.25">
      <c r="A525" s="45">
        <v>837557229</v>
      </c>
      <c r="B525" s="46" t="s">
        <v>16</v>
      </c>
      <c r="C525" s="46" t="s">
        <v>18</v>
      </c>
      <c r="D525" s="46" t="s">
        <v>22</v>
      </c>
      <c r="E525" s="47">
        <v>47.44</v>
      </c>
      <c r="F525" s="48">
        <v>1</v>
      </c>
      <c r="G525" s="78">
        <f t="shared" si="8"/>
        <v>47.44</v>
      </c>
      <c r="H525" s="120">
        <v>43518</v>
      </c>
      <c r="I525" s="50">
        <v>0.7631944444444444</v>
      </c>
      <c r="J525" s="46" t="s">
        <v>15</v>
      </c>
      <c r="K525" s="51">
        <v>6.8</v>
      </c>
      <c r="L525" s="122" t="str">
        <f>IF(AND(Tabla_Ventas[[#This Row],[VENTA TOTAL]]&gt;=30,Tabla_Ventas[[#This Row],[TIPO DE CLIENTE/ Customer type]]="Member"),"PARTICIPA","NO PARTICIPA")</f>
        <v>NO PARTICIPA</v>
      </c>
    </row>
    <row r="526" spans="1:12" ht="19" x14ac:dyDescent="0.25">
      <c r="A526" s="45">
        <v>598067312</v>
      </c>
      <c r="B526" s="46" t="s">
        <v>12</v>
      </c>
      <c r="C526" s="46" t="s">
        <v>13</v>
      </c>
      <c r="D526" s="46" t="s">
        <v>22</v>
      </c>
      <c r="E526" s="49">
        <v>91.35</v>
      </c>
      <c r="F526" s="48">
        <v>1</v>
      </c>
      <c r="G526" s="78">
        <f t="shared" si="8"/>
        <v>91.35</v>
      </c>
      <c r="H526" s="120">
        <v>43512</v>
      </c>
      <c r="I526" s="50">
        <v>0.65416666666666667</v>
      </c>
      <c r="J526" s="46" t="s">
        <v>23</v>
      </c>
      <c r="K526" s="51">
        <v>6.8</v>
      </c>
      <c r="L526" s="122" t="str">
        <f>IF(AND(Tabla_Ventas[[#This Row],[VENTA TOTAL]]&gt;=30,Tabla_Ventas[[#This Row],[TIPO DE CLIENTE/ Customer type]]="Member"),"PARTICIPA","NO PARTICIPA")</f>
        <v>PARTICIPA</v>
      </c>
    </row>
    <row r="527" spans="1:12" ht="19" x14ac:dyDescent="0.25">
      <c r="A527" s="45">
        <v>210749613</v>
      </c>
      <c r="B527" s="46" t="s">
        <v>16</v>
      </c>
      <c r="C527" s="46" t="s">
        <v>18</v>
      </c>
      <c r="D527" s="46" t="s">
        <v>22</v>
      </c>
      <c r="E527" s="49">
        <v>97.26</v>
      </c>
      <c r="F527" s="48">
        <v>4</v>
      </c>
      <c r="G527" s="78">
        <f t="shared" si="8"/>
        <v>389.04</v>
      </c>
      <c r="H527" s="120">
        <v>43540</v>
      </c>
      <c r="I527" s="50">
        <v>0.6479166666666667</v>
      </c>
      <c r="J527" s="46" t="s">
        <v>17</v>
      </c>
      <c r="K527" s="51">
        <v>6.8</v>
      </c>
      <c r="L527" s="122" t="str">
        <f>IF(AND(Tabla_Ventas[[#This Row],[VENTA TOTAL]]&gt;=30,Tabla_Ventas[[#This Row],[TIPO DE CLIENTE/ Customer type]]="Member"),"PARTICIPA","NO PARTICIPA")</f>
        <v>NO PARTICIPA</v>
      </c>
    </row>
    <row r="528" spans="1:12" ht="19" x14ac:dyDescent="0.25">
      <c r="A528" s="45">
        <v>137748729</v>
      </c>
      <c r="B528" s="46" t="s">
        <v>16</v>
      </c>
      <c r="C528" s="46" t="s">
        <v>18</v>
      </c>
      <c r="D528" s="46" t="s">
        <v>22</v>
      </c>
      <c r="E528" s="49">
        <v>12.19</v>
      </c>
      <c r="F528" s="48">
        <v>8</v>
      </c>
      <c r="G528" s="78">
        <f t="shared" si="8"/>
        <v>97.52</v>
      </c>
      <c r="H528" s="120">
        <v>43537</v>
      </c>
      <c r="I528" s="50">
        <v>0.53263888888888888</v>
      </c>
      <c r="J528" s="46" t="s">
        <v>17</v>
      </c>
      <c r="K528" s="51">
        <v>6.8</v>
      </c>
      <c r="L528" s="122" t="str">
        <f>IF(AND(Tabla_Ventas[[#This Row],[VENTA TOTAL]]&gt;=30,Tabla_Ventas[[#This Row],[TIPO DE CLIENTE/ Customer type]]="Member"),"PARTICIPA","NO PARTICIPA")</f>
        <v>NO PARTICIPA</v>
      </c>
    </row>
    <row r="529" spans="1:12" ht="19" x14ac:dyDescent="0.25">
      <c r="A529" s="45">
        <v>453336436</v>
      </c>
      <c r="B529" s="46" t="s">
        <v>19</v>
      </c>
      <c r="C529" s="46" t="s">
        <v>18</v>
      </c>
      <c r="D529" s="46" t="s">
        <v>25</v>
      </c>
      <c r="E529" s="49">
        <v>93.12</v>
      </c>
      <c r="F529" s="48">
        <v>8</v>
      </c>
      <c r="G529" s="78">
        <f t="shared" si="8"/>
        <v>744.96</v>
      </c>
      <c r="H529" s="120">
        <v>43503</v>
      </c>
      <c r="I529" s="50">
        <v>0.42291666666666666</v>
      </c>
      <c r="J529" s="46" t="s">
        <v>23</v>
      </c>
      <c r="K529" s="51">
        <v>6.8</v>
      </c>
      <c r="L529" s="122" t="str">
        <f>IF(AND(Tabla_Ventas[[#This Row],[VENTA TOTAL]]&gt;=30,Tabla_Ventas[[#This Row],[TIPO DE CLIENTE/ Customer type]]="Member"),"PARTICIPA","NO PARTICIPA")</f>
        <v>NO PARTICIPA</v>
      </c>
    </row>
    <row r="530" spans="1:12" ht="19" x14ac:dyDescent="0.25">
      <c r="A530" s="45">
        <v>749818133</v>
      </c>
      <c r="B530" s="46" t="s">
        <v>19</v>
      </c>
      <c r="C530" s="46" t="s">
        <v>18</v>
      </c>
      <c r="D530" s="46" t="s">
        <v>22</v>
      </c>
      <c r="E530" s="49">
        <v>94.67</v>
      </c>
      <c r="F530" s="48">
        <v>4</v>
      </c>
      <c r="G530" s="78">
        <f t="shared" si="8"/>
        <v>378.68</v>
      </c>
      <c r="H530" s="120">
        <v>43478</v>
      </c>
      <c r="I530" s="50">
        <v>0.50277777777777777</v>
      </c>
      <c r="J530" s="46" t="s">
        <v>23</v>
      </c>
      <c r="K530" s="51">
        <v>6.8</v>
      </c>
      <c r="L530" s="122" t="str">
        <f>IF(AND(Tabla_Ventas[[#This Row],[VENTA TOTAL]]&gt;=30,Tabla_Ventas[[#This Row],[TIPO DE CLIENTE/ Customer type]]="Member"),"PARTICIPA","NO PARTICIPA")</f>
        <v>NO PARTICIPA</v>
      </c>
    </row>
    <row r="531" spans="1:12" ht="19" x14ac:dyDescent="0.25">
      <c r="A531" s="45">
        <v>397258725</v>
      </c>
      <c r="B531" s="46" t="s">
        <v>19</v>
      </c>
      <c r="C531" s="46" t="s">
        <v>13</v>
      </c>
      <c r="D531" s="46" t="s">
        <v>20</v>
      </c>
      <c r="E531" s="49">
        <v>39.619999999999997</v>
      </c>
      <c r="F531" s="48">
        <v>9</v>
      </c>
      <c r="G531" s="78">
        <f t="shared" si="8"/>
        <v>356.58</v>
      </c>
      <c r="H531" s="120">
        <v>43478</v>
      </c>
      <c r="I531" s="50">
        <v>0.74583333333333324</v>
      </c>
      <c r="J531" s="46" t="s">
        <v>15</v>
      </c>
      <c r="K531" s="51">
        <v>6.8</v>
      </c>
      <c r="L531" s="122" t="str">
        <f>IF(AND(Tabla_Ventas[[#This Row],[VENTA TOTAL]]&gt;=30,Tabla_Ventas[[#This Row],[TIPO DE CLIENTE/ Customer type]]="Member"),"PARTICIPA","NO PARTICIPA")</f>
        <v>PARTICIPA</v>
      </c>
    </row>
    <row r="532" spans="1:12" ht="19" x14ac:dyDescent="0.25">
      <c r="A532" s="45">
        <v>846100341</v>
      </c>
      <c r="B532" s="46" t="s">
        <v>19</v>
      </c>
      <c r="C532" s="46" t="s">
        <v>18</v>
      </c>
      <c r="D532" s="46" t="s">
        <v>22</v>
      </c>
      <c r="E532" s="49">
        <v>42.57</v>
      </c>
      <c r="F532" s="48">
        <v>7</v>
      </c>
      <c r="G532" s="78">
        <f t="shared" si="8"/>
        <v>297.99</v>
      </c>
      <c r="H532" s="120">
        <v>43471</v>
      </c>
      <c r="I532" s="50">
        <v>0.49374999999999997</v>
      </c>
      <c r="J532" s="46" t="s">
        <v>23</v>
      </c>
      <c r="K532" s="51">
        <v>6.8</v>
      </c>
      <c r="L532" s="122" t="str">
        <f>IF(AND(Tabla_Ventas[[#This Row],[VENTA TOTAL]]&gt;=30,Tabla_Ventas[[#This Row],[TIPO DE CLIENTE/ Customer type]]="Member"),"PARTICIPA","NO PARTICIPA")</f>
        <v>NO PARTICIPA</v>
      </c>
    </row>
    <row r="533" spans="1:12" ht="19" x14ac:dyDescent="0.25">
      <c r="A533" s="45">
        <v>649296775</v>
      </c>
      <c r="B533" s="46" t="s">
        <v>16</v>
      </c>
      <c r="C533" s="46" t="s">
        <v>18</v>
      </c>
      <c r="D533" s="46" t="s">
        <v>22</v>
      </c>
      <c r="E533" s="47">
        <v>33.520000000000003</v>
      </c>
      <c r="F533" s="48">
        <v>1</v>
      </c>
      <c r="G533" s="78">
        <f t="shared" si="8"/>
        <v>33.520000000000003</v>
      </c>
      <c r="H533" s="120">
        <v>43679</v>
      </c>
      <c r="I533" s="50">
        <v>0.64652777777777781</v>
      </c>
      <c r="J533" s="46" t="s">
        <v>23</v>
      </c>
      <c r="K533" s="51">
        <v>6.7</v>
      </c>
      <c r="L533" s="122" t="str">
        <f>IF(AND(Tabla_Ventas[[#This Row],[VENTA TOTAL]]&gt;=30,Tabla_Ventas[[#This Row],[TIPO DE CLIENTE/ Customer type]]="Member"),"PARTICIPA","NO PARTICIPA")</f>
        <v>NO PARTICIPA</v>
      </c>
    </row>
    <row r="534" spans="1:12" ht="19" x14ac:dyDescent="0.25">
      <c r="A534" s="45">
        <v>838784295</v>
      </c>
      <c r="B534" s="46" t="s">
        <v>12</v>
      </c>
      <c r="C534" s="46" t="s">
        <v>18</v>
      </c>
      <c r="D534" s="46" t="s">
        <v>20</v>
      </c>
      <c r="E534" s="47">
        <v>33.47</v>
      </c>
      <c r="F534" s="48">
        <v>2</v>
      </c>
      <c r="G534" s="78">
        <f t="shared" si="8"/>
        <v>66.94</v>
      </c>
      <c r="H534" s="120">
        <v>43506</v>
      </c>
      <c r="I534" s="50">
        <v>0.65486111111111112</v>
      </c>
      <c r="J534" s="46" t="s">
        <v>17</v>
      </c>
      <c r="K534" s="51">
        <v>6.7</v>
      </c>
      <c r="L534" s="122" t="str">
        <f>IF(AND(Tabla_Ventas[[#This Row],[VENTA TOTAL]]&gt;=30,Tabla_Ventas[[#This Row],[TIPO DE CLIENTE/ Customer type]]="Member"),"PARTICIPA","NO PARTICIPA")</f>
        <v>NO PARTICIPA</v>
      </c>
    </row>
    <row r="535" spans="1:12" ht="19" x14ac:dyDescent="0.25">
      <c r="A535" s="45">
        <v>586250848</v>
      </c>
      <c r="B535" s="46" t="s">
        <v>19</v>
      </c>
      <c r="C535" s="46" t="s">
        <v>18</v>
      </c>
      <c r="D535" s="46" t="s">
        <v>14</v>
      </c>
      <c r="E535" s="47">
        <v>12.34</v>
      </c>
      <c r="F535" s="48">
        <v>7</v>
      </c>
      <c r="G535" s="78">
        <f t="shared" si="8"/>
        <v>86.38</v>
      </c>
      <c r="H535" s="120">
        <v>43558</v>
      </c>
      <c r="I535" s="50">
        <v>0.47152777777777777</v>
      </c>
      <c r="J535" s="46" t="s">
        <v>15</v>
      </c>
      <c r="K535" s="51">
        <v>6.7</v>
      </c>
      <c r="L535" s="122" t="str">
        <f>IF(AND(Tabla_Ventas[[#This Row],[VENTA TOTAL]]&gt;=30,Tabla_Ventas[[#This Row],[TIPO DE CLIENTE/ Customer type]]="Member"),"PARTICIPA","NO PARTICIPA")</f>
        <v>NO PARTICIPA</v>
      </c>
    </row>
    <row r="536" spans="1:12" ht="19" x14ac:dyDescent="0.25">
      <c r="A536" s="45">
        <v>269045750</v>
      </c>
      <c r="B536" s="46" t="s">
        <v>16</v>
      </c>
      <c r="C536" s="46" t="s">
        <v>13</v>
      </c>
      <c r="D536" s="46" t="s">
        <v>22</v>
      </c>
      <c r="E536" s="47">
        <v>73.819999999999993</v>
      </c>
      <c r="F536" s="48">
        <v>4</v>
      </c>
      <c r="G536" s="78">
        <f t="shared" si="8"/>
        <v>295.27999999999997</v>
      </c>
      <c r="H536" s="120">
        <v>43517</v>
      </c>
      <c r="I536" s="50">
        <v>0.7715277777777777</v>
      </c>
      <c r="J536" s="46" t="s">
        <v>23</v>
      </c>
      <c r="K536" s="51">
        <v>6.7</v>
      </c>
      <c r="L536" s="122" t="str">
        <f>IF(AND(Tabla_Ventas[[#This Row],[VENTA TOTAL]]&gt;=30,Tabla_Ventas[[#This Row],[TIPO DE CLIENTE/ Customer type]]="Member"),"PARTICIPA","NO PARTICIPA")</f>
        <v>PARTICIPA</v>
      </c>
    </row>
    <row r="537" spans="1:12" ht="19" x14ac:dyDescent="0.25">
      <c r="A537" s="45">
        <v>446476729</v>
      </c>
      <c r="B537" s="46" t="s">
        <v>12</v>
      </c>
      <c r="C537" s="46" t="s">
        <v>18</v>
      </c>
      <c r="D537" s="46" t="s">
        <v>22</v>
      </c>
      <c r="E537" s="47">
        <v>99.82</v>
      </c>
      <c r="F537" s="48">
        <v>2</v>
      </c>
      <c r="G537" s="78">
        <f t="shared" si="8"/>
        <v>199.64</v>
      </c>
      <c r="H537" s="120">
        <v>43497</v>
      </c>
      <c r="I537" s="50">
        <v>0.75624999999999998</v>
      </c>
      <c r="J537" s="46" t="s">
        <v>15</v>
      </c>
      <c r="K537" s="51">
        <v>6.7</v>
      </c>
      <c r="L537" s="122" t="str">
        <f>IF(AND(Tabla_Ventas[[#This Row],[VENTA TOTAL]]&gt;=30,Tabla_Ventas[[#This Row],[TIPO DE CLIENTE/ Customer type]]="Member"),"PARTICIPA","NO PARTICIPA")</f>
        <v>NO PARTICIPA</v>
      </c>
    </row>
    <row r="538" spans="1:12" ht="19" x14ac:dyDescent="0.25">
      <c r="A538" s="45">
        <v>563917120</v>
      </c>
      <c r="B538" s="46" t="s">
        <v>19</v>
      </c>
      <c r="C538" s="46" t="s">
        <v>18</v>
      </c>
      <c r="D538" s="46" t="s">
        <v>22</v>
      </c>
      <c r="E538" s="47">
        <v>61.77</v>
      </c>
      <c r="F538" s="48">
        <v>5</v>
      </c>
      <c r="G538" s="78">
        <f t="shared" si="8"/>
        <v>308.85000000000002</v>
      </c>
      <c r="H538" s="120">
        <v>43532</v>
      </c>
      <c r="I538" s="50">
        <v>0.55625000000000002</v>
      </c>
      <c r="J538" s="46" t="s">
        <v>23</v>
      </c>
      <c r="K538" s="51">
        <v>6.7</v>
      </c>
      <c r="L538" s="122" t="str">
        <f>IF(AND(Tabla_Ventas[[#This Row],[VENTA TOTAL]]&gt;=30,Tabla_Ventas[[#This Row],[TIPO DE CLIENTE/ Customer type]]="Member"),"PARTICIPA","NO PARTICIPA")</f>
        <v>NO PARTICIPA</v>
      </c>
    </row>
    <row r="539" spans="1:12" ht="19" x14ac:dyDescent="0.25">
      <c r="A539" s="45">
        <v>301818610</v>
      </c>
      <c r="B539" s="46" t="s">
        <v>16</v>
      </c>
      <c r="C539" s="46" t="s">
        <v>13</v>
      </c>
      <c r="D539" s="46" t="s">
        <v>22</v>
      </c>
      <c r="E539" s="47">
        <v>25.42</v>
      </c>
      <c r="F539" s="48">
        <v>8</v>
      </c>
      <c r="G539" s="78">
        <f t="shared" si="8"/>
        <v>203.36</v>
      </c>
      <c r="H539" s="120">
        <v>43543</v>
      </c>
      <c r="I539" s="50">
        <v>0.8208333333333333</v>
      </c>
      <c r="J539" s="46" t="s">
        <v>15</v>
      </c>
      <c r="K539" s="51">
        <v>6.7</v>
      </c>
      <c r="L539" s="122" t="str">
        <f>IF(AND(Tabla_Ventas[[#This Row],[VENTA TOTAL]]&gt;=30,Tabla_Ventas[[#This Row],[TIPO DE CLIENTE/ Customer type]]="Member"),"PARTICIPA","NO PARTICIPA")</f>
        <v>PARTICIPA</v>
      </c>
    </row>
    <row r="540" spans="1:12" ht="19" x14ac:dyDescent="0.25">
      <c r="A540" s="45">
        <v>891017034</v>
      </c>
      <c r="B540" s="46" t="s">
        <v>16</v>
      </c>
      <c r="C540" s="46" t="s">
        <v>18</v>
      </c>
      <c r="D540" s="46" t="s">
        <v>21</v>
      </c>
      <c r="E540" s="47">
        <v>74.709999999999994</v>
      </c>
      <c r="F540" s="48">
        <v>6</v>
      </c>
      <c r="G540" s="78">
        <f t="shared" si="8"/>
        <v>448.26</v>
      </c>
      <c r="H540" s="120">
        <v>43466</v>
      </c>
      <c r="I540" s="50">
        <v>0.79652777777777783</v>
      </c>
      <c r="J540" s="46" t="s">
        <v>23</v>
      </c>
      <c r="K540" s="51">
        <v>6.7</v>
      </c>
      <c r="L540" s="122" t="str">
        <f>IF(AND(Tabla_Ventas[[#This Row],[VENTA TOTAL]]&gt;=30,Tabla_Ventas[[#This Row],[TIPO DE CLIENTE/ Customer type]]="Member"),"PARTICIPA","NO PARTICIPA")</f>
        <v>NO PARTICIPA</v>
      </c>
    </row>
    <row r="541" spans="1:12" ht="19" x14ac:dyDescent="0.25">
      <c r="A541" s="45">
        <v>701698742</v>
      </c>
      <c r="B541" s="46" t="s">
        <v>16</v>
      </c>
      <c r="C541" s="46" t="s">
        <v>18</v>
      </c>
      <c r="D541" s="46" t="s">
        <v>14</v>
      </c>
      <c r="E541" s="47">
        <v>34.369999999999997</v>
      </c>
      <c r="F541" s="48">
        <v>10</v>
      </c>
      <c r="G541" s="78">
        <f t="shared" si="8"/>
        <v>343.7</v>
      </c>
      <c r="H541" s="120">
        <v>43540</v>
      </c>
      <c r="I541" s="50">
        <v>0.42430555555555555</v>
      </c>
      <c r="J541" s="46" t="s">
        <v>17</v>
      </c>
      <c r="K541" s="51">
        <v>6.7</v>
      </c>
      <c r="L541" s="122" t="str">
        <f>IF(AND(Tabla_Ventas[[#This Row],[VENTA TOTAL]]&gt;=30,Tabla_Ventas[[#This Row],[TIPO DE CLIENTE/ Customer type]]="Member"),"PARTICIPA","NO PARTICIPA")</f>
        <v>NO PARTICIPA</v>
      </c>
    </row>
    <row r="542" spans="1:12" ht="19" x14ac:dyDescent="0.25">
      <c r="A542" s="45">
        <v>575671508</v>
      </c>
      <c r="B542" s="46" t="s">
        <v>19</v>
      </c>
      <c r="C542" s="46" t="s">
        <v>18</v>
      </c>
      <c r="D542" s="46" t="s">
        <v>21</v>
      </c>
      <c r="E542" s="47">
        <v>38.6</v>
      </c>
      <c r="F542" s="48">
        <v>1</v>
      </c>
      <c r="G542" s="78">
        <f t="shared" si="8"/>
        <v>38.6</v>
      </c>
      <c r="H542" s="120">
        <v>43494</v>
      </c>
      <c r="I542" s="50">
        <v>0.47638888888888892</v>
      </c>
      <c r="J542" s="46" t="s">
        <v>17</v>
      </c>
      <c r="K542" s="51">
        <v>6.7</v>
      </c>
      <c r="L542" s="122" t="str">
        <f>IF(AND(Tabla_Ventas[[#This Row],[VENTA TOTAL]]&gt;=30,Tabla_Ventas[[#This Row],[TIPO DE CLIENTE/ Customer type]]="Member"),"PARTICIPA","NO PARTICIPA")</f>
        <v>NO PARTICIPA</v>
      </c>
    </row>
    <row r="543" spans="1:12" ht="19" x14ac:dyDescent="0.25">
      <c r="A543" s="45">
        <v>387494215</v>
      </c>
      <c r="B543" s="46" t="s">
        <v>16</v>
      </c>
      <c r="C543" s="46" t="s">
        <v>13</v>
      </c>
      <c r="D543" s="46" t="s">
        <v>14</v>
      </c>
      <c r="E543" s="47">
        <v>48.5</v>
      </c>
      <c r="F543" s="48">
        <v>3</v>
      </c>
      <c r="G543" s="78">
        <f t="shared" si="8"/>
        <v>145.5</v>
      </c>
      <c r="H543" s="120">
        <v>43678</v>
      </c>
      <c r="I543" s="50">
        <v>0.53472222222222221</v>
      </c>
      <c r="J543" s="46" t="s">
        <v>23</v>
      </c>
      <c r="K543" s="51">
        <v>6.7</v>
      </c>
      <c r="L543" s="122" t="str">
        <f>IF(AND(Tabla_Ventas[[#This Row],[VENTA TOTAL]]&gt;=30,Tabla_Ventas[[#This Row],[TIPO DE CLIENTE/ Customer type]]="Member"),"PARTICIPA","NO PARTICIPA")</f>
        <v>PARTICIPA</v>
      </c>
    </row>
    <row r="544" spans="1:12" ht="19" x14ac:dyDescent="0.25">
      <c r="A544" s="45">
        <v>339389982</v>
      </c>
      <c r="B544" s="46" t="s">
        <v>16</v>
      </c>
      <c r="C544" s="46" t="s">
        <v>13</v>
      </c>
      <c r="D544" s="46" t="s">
        <v>22</v>
      </c>
      <c r="E544" s="47">
        <v>59.86</v>
      </c>
      <c r="F544" s="48">
        <v>2</v>
      </c>
      <c r="G544" s="78">
        <f t="shared" si="8"/>
        <v>119.72</v>
      </c>
      <c r="H544" s="120">
        <v>43478</v>
      </c>
      <c r="I544" s="50">
        <v>0.62152777777777779</v>
      </c>
      <c r="J544" s="46" t="s">
        <v>17</v>
      </c>
      <c r="K544" s="51">
        <v>6.7</v>
      </c>
      <c r="L544" s="122" t="str">
        <f>IF(AND(Tabla_Ventas[[#This Row],[VENTA TOTAL]]&gt;=30,Tabla_Ventas[[#This Row],[TIPO DE CLIENTE/ Customer type]]="Member"),"PARTICIPA","NO PARTICIPA")</f>
        <v>PARTICIPA</v>
      </c>
    </row>
    <row r="545" spans="1:12" ht="19" x14ac:dyDescent="0.25">
      <c r="A545" s="45">
        <v>277355865</v>
      </c>
      <c r="B545" s="46" t="s">
        <v>16</v>
      </c>
      <c r="C545" s="46" t="s">
        <v>13</v>
      </c>
      <c r="D545" s="46" t="s">
        <v>24</v>
      </c>
      <c r="E545" s="49">
        <v>98.97</v>
      </c>
      <c r="F545" s="48">
        <v>9</v>
      </c>
      <c r="G545" s="78">
        <f t="shared" si="8"/>
        <v>890.73</v>
      </c>
      <c r="H545" s="120">
        <v>43533</v>
      </c>
      <c r="I545" s="50">
        <v>0.47430555555555554</v>
      </c>
      <c r="J545" s="46" t="s">
        <v>23</v>
      </c>
      <c r="K545" s="51">
        <v>6.7</v>
      </c>
      <c r="L545" s="122" t="str">
        <f>IF(AND(Tabla_Ventas[[#This Row],[VENTA TOTAL]]&gt;=30,Tabla_Ventas[[#This Row],[TIPO DE CLIENTE/ Customer type]]="Member"),"PARTICIPA","NO PARTICIPA")</f>
        <v>PARTICIPA</v>
      </c>
    </row>
    <row r="546" spans="1:12" ht="19" x14ac:dyDescent="0.25">
      <c r="A546" s="45">
        <v>149611929</v>
      </c>
      <c r="B546" s="46" t="s">
        <v>19</v>
      </c>
      <c r="C546" s="46" t="s">
        <v>18</v>
      </c>
      <c r="D546" s="46" t="s">
        <v>14</v>
      </c>
      <c r="E546" s="49">
        <v>64.19</v>
      </c>
      <c r="F546" s="48">
        <v>10</v>
      </c>
      <c r="G546" s="78">
        <f t="shared" si="8"/>
        <v>641.9</v>
      </c>
      <c r="H546" s="120">
        <v>43484</v>
      </c>
      <c r="I546" s="50">
        <v>0.58888888888888891</v>
      </c>
      <c r="J546" s="46" t="s">
        <v>15</v>
      </c>
      <c r="K546" s="51">
        <v>6.7</v>
      </c>
      <c r="L546" s="122" t="str">
        <f>IF(AND(Tabla_Ventas[[#This Row],[VENTA TOTAL]]&gt;=30,Tabla_Ventas[[#This Row],[TIPO DE CLIENTE/ Customer type]]="Member"),"PARTICIPA","NO PARTICIPA")</f>
        <v>NO PARTICIPA</v>
      </c>
    </row>
    <row r="547" spans="1:12" ht="19" x14ac:dyDescent="0.25">
      <c r="A547" s="45">
        <v>394556384</v>
      </c>
      <c r="B547" s="46" t="s">
        <v>16</v>
      </c>
      <c r="C547" s="46" t="s">
        <v>13</v>
      </c>
      <c r="D547" s="46" t="s">
        <v>14</v>
      </c>
      <c r="E547" s="49">
        <v>70.19</v>
      </c>
      <c r="F547" s="48">
        <v>9</v>
      </c>
      <c r="G547" s="78">
        <f t="shared" si="8"/>
        <v>631.71</v>
      </c>
      <c r="H547" s="120">
        <v>43490</v>
      </c>
      <c r="I547" s="50">
        <v>0.56805555555555554</v>
      </c>
      <c r="J547" s="46" t="s">
        <v>23</v>
      </c>
      <c r="K547" s="51">
        <v>6.7</v>
      </c>
      <c r="L547" s="122" t="str">
        <f>IF(AND(Tabla_Ventas[[#This Row],[VENTA TOTAL]]&gt;=30,Tabla_Ventas[[#This Row],[TIPO DE CLIENTE/ Customer type]]="Member"),"PARTICIPA","NO PARTICIPA")</f>
        <v>PARTICIPA</v>
      </c>
    </row>
    <row r="548" spans="1:12" ht="19" x14ac:dyDescent="0.25">
      <c r="A548" s="45">
        <v>366436862</v>
      </c>
      <c r="B548" s="46" t="s">
        <v>12</v>
      </c>
      <c r="C548" s="46" t="s">
        <v>18</v>
      </c>
      <c r="D548" s="46" t="s">
        <v>21</v>
      </c>
      <c r="E548" s="49">
        <v>52.89</v>
      </c>
      <c r="F548" s="48">
        <v>4</v>
      </c>
      <c r="G548" s="78">
        <f t="shared" si="8"/>
        <v>211.56</v>
      </c>
      <c r="H548" s="120">
        <v>43549</v>
      </c>
      <c r="I548" s="50">
        <v>0.68888888888888899</v>
      </c>
      <c r="J548" s="46" t="s">
        <v>17</v>
      </c>
      <c r="K548" s="51">
        <v>6.7</v>
      </c>
      <c r="L548" s="122" t="str">
        <f>IF(AND(Tabla_Ventas[[#This Row],[VENTA TOTAL]]&gt;=30,Tabla_Ventas[[#This Row],[TIPO DE CLIENTE/ Customer type]]="Member"),"PARTICIPA","NO PARTICIPA")</f>
        <v>NO PARTICIPA</v>
      </c>
    </row>
    <row r="549" spans="1:12" ht="19" x14ac:dyDescent="0.25">
      <c r="A549" s="45">
        <v>325894209</v>
      </c>
      <c r="B549" s="46" t="s">
        <v>19</v>
      </c>
      <c r="C549" s="46" t="s">
        <v>13</v>
      </c>
      <c r="D549" s="46" t="s">
        <v>24</v>
      </c>
      <c r="E549" s="49">
        <v>87.9</v>
      </c>
      <c r="F549" s="48">
        <v>1</v>
      </c>
      <c r="G549" s="78">
        <f t="shared" si="8"/>
        <v>87.9</v>
      </c>
      <c r="H549" s="120">
        <v>43501</v>
      </c>
      <c r="I549" s="50">
        <v>0.8208333333333333</v>
      </c>
      <c r="J549" s="46" t="s">
        <v>17</v>
      </c>
      <c r="K549" s="51">
        <v>6.7</v>
      </c>
      <c r="L549" s="122" t="str">
        <f>IF(AND(Tabla_Ventas[[#This Row],[VENTA TOTAL]]&gt;=30,Tabla_Ventas[[#This Row],[TIPO DE CLIENTE/ Customer type]]="Member"),"PARTICIPA","NO PARTICIPA")</f>
        <v>PARTICIPA</v>
      </c>
    </row>
    <row r="550" spans="1:12" ht="19" x14ac:dyDescent="0.25">
      <c r="A550" s="45">
        <v>364342972</v>
      </c>
      <c r="B550" s="46" t="s">
        <v>16</v>
      </c>
      <c r="C550" s="46" t="s">
        <v>13</v>
      </c>
      <c r="D550" s="46" t="s">
        <v>21</v>
      </c>
      <c r="E550" s="49">
        <v>96.82</v>
      </c>
      <c r="F550" s="48">
        <v>3</v>
      </c>
      <c r="G550" s="78">
        <f t="shared" si="8"/>
        <v>290.45999999999998</v>
      </c>
      <c r="H550" s="120">
        <v>43554</v>
      </c>
      <c r="I550" s="50">
        <v>0.85902777777777783</v>
      </c>
      <c r="J550" s="46" t="s">
        <v>23</v>
      </c>
      <c r="K550" s="51">
        <v>6.7</v>
      </c>
      <c r="L550" s="122" t="str">
        <f>IF(AND(Tabla_Ventas[[#This Row],[VENTA TOTAL]]&gt;=30,Tabla_Ventas[[#This Row],[TIPO DE CLIENTE/ Customer type]]="Member"),"PARTICIPA","NO PARTICIPA")</f>
        <v>PARTICIPA</v>
      </c>
    </row>
    <row r="551" spans="1:12" ht="19" x14ac:dyDescent="0.25">
      <c r="A551" s="45">
        <v>448348700</v>
      </c>
      <c r="B551" s="46" t="s">
        <v>12</v>
      </c>
      <c r="C551" s="46" t="s">
        <v>13</v>
      </c>
      <c r="D551" s="46" t="s">
        <v>25</v>
      </c>
      <c r="E551" s="49">
        <v>36.909999999999997</v>
      </c>
      <c r="F551" s="48">
        <v>7</v>
      </c>
      <c r="G551" s="78">
        <f t="shared" si="8"/>
        <v>258.37</v>
      </c>
      <c r="H551" s="120">
        <v>43506</v>
      </c>
      <c r="I551" s="50">
        <v>0.57708333333333328</v>
      </c>
      <c r="J551" s="46" t="s">
        <v>17</v>
      </c>
      <c r="K551" s="51">
        <v>6.7</v>
      </c>
      <c r="L551" s="122" t="str">
        <f>IF(AND(Tabla_Ventas[[#This Row],[VENTA TOTAL]]&gt;=30,Tabla_Ventas[[#This Row],[TIPO DE CLIENTE/ Customer type]]="Member"),"PARTICIPA","NO PARTICIPA")</f>
        <v>PARTICIPA</v>
      </c>
    </row>
    <row r="552" spans="1:12" ht="19" x14ac:dyDescent="0.25">
      <c r="A552" s="45">
        <v>635406220</v>
      </c>
      <c r="B552" s="46" t="s">
        <v>19</v>
      </c>
      <c r="C552" s="46" t="s">
        <v>18</v>
      </c>
      <c r="D552" s="46" t="s">
        <v>20</v>
      </c>
      <c r="E552" s="47">
        <v>89.6</v>
      </c>
      <c r="F552" s="48">
        <v>8</v>
      </c>
      <c r="G552" s="78">
        <f t="shared" si="8"/>
        <v>716.8</v>
      </c>
      <c r="H552" s="120">
        <v>43503</v>
      </c>
      <c r="I552" s="50">
        <v>0.4777777777777778</v>
      </c>
      <c r="J552" s="46" t="s">
        <v>17</v>
      </c>
      <c r="K552" s="51">
        <v>6.6</v>
      </c>
      <c r="L552" s="122" t="str">
        <f>IF(AND(Tabla_Ventas[[#This Row],[VENTA TOTAL]]&gt;=30,Tabla_Ventas[[#This Row],[TIPO DE CLIENTE/ Customer type]]="Member"),"PARTICIPA","NO PARTICIPA")</f>
        <v>NO PARTICIPA</v>
      </c>
    </row>
    <row r="553" spans="1:12" ht="19" x14ac:dyDescent="0.25">
      <c r="A553" s="45">
        <v>829491914</v>
      </c>
      <c r="B553" s="46" t="s">
        <v>12</v>
      </c>
      <c r="C553" s="46" t="s">
        <v>13</v>
      </c>
      <c r="D553" s="46" t="s">
        <v>24</v>
      </c>
      <c r="E553" s="47">
        <v>78.31</v>
      </c>
      <c r="F553" s="48">
        <v>10</v>
      </c>
      <c r="G553" s="78">
        <f t="shared" si="8"/>
        <v>783.1</v>
      </c>
      <c r="H553" s="120">
        <v>43529</v>
      </c>
      <c r="I553" s="50">
        <v>0.68333333333333324</v>
      </c>
      <c r="J553" s="46" t="s">
        <v>17</v>
      </c>
      <c r="K553" s="51">
        <v>6.6</v>
      </c>
      <c r="L553" s="122" t="str">
        <f>IF(AND(Tabla_Ventas[[#This Row],[VENTA TOTAL]]&gt;=30,Tabla_Ventas[[#This Row],[TIPO DE CLIENTE/ Customer type]]="Member"),"PARTICIPA","NO PARTICIPA")</f>
        <v>PARTICIPA</v>
      </c>
    </row>
    <row r="554" spans="1:12" ht="19" x14ac:dyDescent="0.25">
      <c r="A554" s="45">
        <v>480632856</v>
      </c>
      <c r="B554" s="46" t="s">
        <v>12</v>
      </c>
      <c r="C554" s="46" t="s">
        <v>18</v>
      </c>
      <c r="D554" s="46" t="s">
        <v>24</v>
      </c>
      <c r="E554" s="47">
        <v>19.25</v>
      </c>
      <c r="F554" s="48">
        <v>8</v>
      </c>
      <c r="G554" s="78">
        <f t="shared" si="8"/>
        <v>154</v>
      </c>
      <c r="H554" s="120">
        <v>43488</v>
      </c>
      <c r="I554" s="50">
        <v>0.77569444444444446</v>
      </c>
      <c r="J554" s="46" t="s">
        <v>17</v>
      </c>
      <c r="K554" s="51">
        <v>6.6</v>
      </c>
      <c r="L554" s="122" t="str">
        <f>IF(AND(Tabla_Ventas[[#This Row],[VENTA TOTAL]]&gt;=30,Tabla_Ventas[[#This Row],[TIPO DE CLIENTE/ Customer type]]="Member"),"PARTICIPA","NO PARTICIPA")</f>
        <v>NO PARTICIPA</v>
      </c>
    </row>
    <row r="555" spans="1:12" ht="19" x14ac:dyDescent="0.25">
      <c r="A555" s="45">
        <v>360395055</v>
      </c>
      <c r="B555" s="46" t="s">
        <v>12</v>
      </c>
      <c r="C555" s="46" t="s">
        <v>13</v>
      </c>
      <c r="D555" s="46" t="s">
        <v>14</v>
      </c>
      <c r="E555" s="47">
        <v>48.91</v>
      </c>
      <c r="F555" s="48">
        <v>5</v>
      </c>
      <c r="G555" s="78">
        <f t="shared" si="8"/>
        <v>244.54999999999998</v>
      </c>
      <c r="H555" s="120">
        <v>43533</v>
      </c>
      <c r="I555" s="50">
        <v>0.4284722222222222</v>
      </c>
      <c r="J555" s="46" t="s">
        <v>23</v>
      </c>
      <c r="K555" s="51">
        <v>6.6</v>
      </c>
      <c r="L555" s="122" t="str">
        <f>IF(AND(Tabla_Ventas[[#This Row],[VENTA TOTAL]]&gt;=30,Tabla_Ventas[[#This Row],[TIPO DE CLIENTE/ Customer type]]="Member"),"PARTICIPA","NO PARTICIPA")</f>
        <v>PARTICIPA</v>
      </c>
    </row>
    <row r="556" spans="1:12" ht="19" x14ac:dyDescent="0.25">
      <c r="A556" s="45">
        <v>512910811</v>
      </c>
      <c r="B556" s="46" t="s">
        <v>12</v>
      </c>
      <c r="C556" s="46" t="s">
        <v>18</v>
      </c>
      <c r="D556" s="46" t="s">
        <v>20</v>
      </c>
      <c r="E556" s="47">
        <v>89.75</v>
      </c>
      <c r="F556" s="48">
        <v>1</v>
      </c>
      <c r="G556" s="78">
        <f t="shared" si="8"/>
        <v>89.75</v>
      </c>
      <c r="H556" s="120">
        <v>43618</v>
      </c>
      <c r="I556" s="50">
        <v>0.83680555555555547</v>
      </c>
      <c r="J556" s="46" t="s">
        <v>15</v>
      </c>
      <c r="K556" s="51">
        <v>6.6</v>
      </c>
      <c r="L556" s="122" t="str">
        <f>IF(AND(Tabla_Ventas[[#This Row],[VENTA TOTAL]]&gt;=30,Tabla_Ventas[[#This Row],[TIPO DE CLIENTE/ Customer type]]="Member"),"PARTICIPA","NO PARTICIPA")</f>
        <v>NO PARTICIPA</v>
      </c>
    </row>
    <row r="557" spans="1:12" ht="19" x14ac:dyDescent="0.25">
      <c r="A557" s="45">
        <v>542410513</v>
      </c>
      <c r="B557" s="46" t="s">
        <v>16</v>
      </c>
      <c r="C557" s="46" t="s">
        <v>13</v>
      </c>
      <c r="D557" s="46" t="s">
        <v>21</v>
      </c>
      <c r="E557" s="47">
        <v>57.49</v>
      </c>
      <c r="F557" s="48">
        <v>4</v>
      </c>
      <c r="G557" s="78">
        <f t="shared" si="8"/>
        <v>229.96</v>
      </c>
      <c r="H557" s="120">
        <v>43539</v>
      </c>
      <c r="I557" s="50">
        <v>0.49791666666666662</v>
      </c>
      <c r="J557" s="46" t="s">
        <v>23</v>
      </c>
      <c r="K557" s="51">
        <v>6.6</v>
      </c>
      <c r="L557" s="122" t="str">
        <f>IF(AND(Tabla_Ventas[[#This Row],[VENTA TOTAL]]&gt;=30,Tabla_Ventas[[#This Row],[TIPO DE CLIENTE/ Customer type]]="Member"),"PARTICIPA","NO PARTICIPA")</f>
        <v>PARTICIPA</v>
      </c>
    </row>
    <row r="558" spans="1:12" ht="19" x14ac:dyDescent="0.25">
      <c r="A558" s="45">
        <v>860790874</v>
      </c>
      <c r="B558" s="46" t="s">
        <v>12</v>
      </c>
      <c r="C558" s="46" t="s">
        <v>13</v>
      </c>
      <c r="D558" s="46" t="s">
        <v>22</v>
      </c>
      <c r="E558" s="47">
        <v>99.3</v>
      </c>
      <c r="F558" s="48">
        <v>10</v>
      </c>
      <c r="G558" s="78">
        <f t="shared" si="8"/>
        <v>993</v>
      </c>
      <c r="H558" s="120">
        <v>43511</v>
      </c>
      <c r="I558" s="50">
        <v>0.62013888888888891</v>
      </c>
      <c r="J558" s="46" t="s">
        <v>15</v>
      </c>
      <c r="K558" s="51">
        <v>6.6</v>
      </c>
      <c r="L558" s="122" t="str">
        <f>IF(AND(Tabla_Ventas[[#This Row],[VENTA TOTAL]]&gt;=30,Tabla_Ventas[[#This Row],[TIPO DE CLIENTE/ Customer type]]="Member"),"PARTICIPA","NO PARTICIPA")</f>
        <v>PARTICIPA</v>
      </c>
    </row>
    <row r="559" spans="1:12" ht="19" x14ac:dyDescent="0.25">
      <c r="A559" s="45">
        <v>596423999</v>
      </c>
      <c r="B559" s="46" t="s">
        <v>16</v>
      </c>
      <c r="C559" s="46" t="s">
        <v>18</v>
      </c>
      <c r="D559" s="46" t="s">
        <v>24</v>
      </c>
      <c r="E559" s="47">
        <v>18.22</v>
      </c>
      <c r="F559" s="48">
        <v>7</v>
      </c>
      <c r="G559" s="78">
        <f t="shared" si="8"/>
        <v>127.53999999999999</v>
      </c>
      <c r="H559" s="120">
        <v>43534</v>
      </c>
      <c r="I559" s="50">
        <v>0.58611111111111114</v>
      </c>
      <c r="J559" s="46" t="s">
        <v>15</v>
      </c>
      <c r="K559" s="51">
        <v>6.6</v>
      </c>
      <c r="L559" s="122" t="str">
        <f>IF(AND(Tabla_Ventas[[#This Row],[VENTA TOTAL]]&gt;=30,Tabla_Ventas[[#This Row],[TIPO DE CLIENTE/ Customer type]]="Member"),"PARTICIPA","NO PARTICIPA")</f>
        <v>NO PARTICIPA</v>
      </c>
    </row>
    <row r="560" spans="1:12" ht="19" x14ac:dyDescent="0.25">
      <c r="A560" s="45">
        <v>696902548</v>
      </c>
      <c r="B560" s="46" t="s">
        <v>19</v>
      </c>
      <c r="C560" s="46" t="s">
        <v>18</v>
      </c>
      <c r="D560" s="46" t="s">
        <v>14</v>
      </c>
      <c r="E560" s="47">
        <v>25.84</v>
      </c>
      <c r="F560" s="48">
        <v>3</v>
      </c>
      <c r="G560" s="78">
        <f t="shared" si="8"/>
        <v>77.52</v>
      </c>
      <c r="H560" s="120">
        <v>43534</v>
      </c>
      <c r="I560" s="50">
        <v>0.78819444444444453</v>
      </c>
      <c r="J560" s="46" t="s">
        <v>17</v>
      </c>
      <c r="K560" s="51">
        <v>6.6</v>
      </c>
      <c r="L560" s="122" t="str">
        <f>IF(AND(Tabla_Ventas[[#This Row],[VENTA TOTAL]]&gt;=30,Tabla_Ventas[[#This Row],[TIPO DE CLIENTE/ Customer type]]="Member"),"PARTICIPA","NO PARTICIPA")</f>
        <v>NO PARTICIPA</v>
      </c>
    </row>
    <row r="561" spans="1:12" ht="19" x14ac:dyDescent="0.25">
      <c r="A561" s="45">
        <v>676396028</v>
      </c>
      <c r="B561" s="46" t="s">
        <v>19</v>
      </c>
      <c r="C561" s="46" t="s">
        <v>13</v>
      </c>
      <c r="D561" s="46" t="s">
        <v>21</v>
      </c>
      <c r="E561" s="47">
        <v>64.44</v>
      </c>
      <c r="F561" s="48">
        <v>5</v>
      </c>
      <c r="G561" s="78">
        <f t="shared" si="8"/>
        <v>322.2</v>
      </c>
      <c r="H561" s="120">
        <v>43554</v>
      </c>
      <c r="I561" s="50">
        <v>0.71111111111111114</v>
      </c>
      <c r="J561" s="46" t="s">
        <v>23</v>
      </c>
      <c r="K561" s="51">
        <v>6.6</v>
      </c>
      <c r="L561" s="122" t="str">
        <f>IF(AND(Tabla_Ventas[[#This Row],[VENTA TOTAL]]&gt;=30,Tabla_Ventas[[#This Row],[TIPO DE CLIENTE/ Customer type]]="Member"),"PARTICIPA","NO PARTICIPA")</f>
        <v>PARTICIPA</v>
      </c>
    </row>
    <row r="562" spans="1:12" ht="19" x14ac:dyDescent="0.25">
      <c r="A562" s="45">
        <v>438014015</v>
      </c>
      <c r="B562" s="46" t="s">
        <v>16</v>
      </c>
      <c r="C562" s="46" t="s">
        <v>13</v>
      </c>
      <c r="D562" s="46" t="s">
        <v>14</v>
      </c>
      <c r="E562" s="47">
        <v>49.49</v>
      </c>
      <c r="F562" s="48">
        <v>4</v>
      </c>
      <c r="G562" s="78">
        <f t="shared" si="8"/>
        <v>197.96</v>
      </c>
      <c r="H562" s="120">
        <v>43488</v>
      </c>
      <c r="I562" s="50">
        <v>0.64236111111111105</v>
      </c>
      <c r="J562" s="46" t="s">
        <v>17</v>
      </c>
      <c r="K562" s="51">
        <v>6.6</v>
      </c>
      <c r="L562" s="122" t="str">
        <f>IF(AND(Tabla_Ventas[[#This Row],[VENTA TOTAL]]&gt;=30,Tabla_Ventas[[#This Row],[TIPO DE CLIENTE/ Customer type]]="Member"),"PARTICIPA","NO PARTICIPA")</f>
        <v>PARTICIPA</v>
      </c>
    </row>
    <row r="563" spans="1:12" ht="19" x14ac:dyDescent="0.25">
      <c r="A563" s="45">
        <v>105106182</v>
      </c>
      <c r="B563" s="46" t="s">
        <v>19</v>
      </c>
      <c r="C563" s="46" t="s">
        <v>13</v>
      </c>
      <c r="D563" s="46" t="s">
        <v>22</v>
      </c>
      <c r="E563" s="49">
        <v>21.48</v>
      </c>
      <c r="F563" s="48">
        <v>2</v>
      </c>
      <c r="G563" s="78">
        <f t="shared" si="8"/>
        <v>42.96</v>
      </c>
      <c r="H563" s="120">
        <v>43523</v>
      </c>
      <c r="I563" s="50">
        <v>0.51527777777777783</v>
      </c>
      <c r="J563" s="46" t="s">
        <v>17</v>
      </c>
      <c r="K563" s="51">
        <v>6.6</v>
      </c>
      <c r="L563" s="122" t="str">
        <f>IF(AND(Tabla_Ventas[[#This Row],[VENTA TOTAL]]&gt;=30,Tabla_Ventas[[#This Row],[TIPO DE CLIENTE/ Customer type]]="Member"),"PARTICIPA","NO PARTICIPA")</f>
        <v>PARTICIPA</v>
      </c>
    </row>
    <row r="564" spans="1:12" ht="19" x14ac:dyDescent="0.25">
      <c r="A564" s="45">
        <v>800098606</v>
      </c>
      <c r="B564" s="46" t="s">
        <v>19</v>
      </c>
      <c r="C564" s="46" t="s">
        <v>13</v>
      </c>
      <c r="D564" s="46" t="s">
        <v>25</v>
      </c>
      <c r="E564" s="49">
        <v>87.37</v>
      </c>
      <c r="F564" s="48">
        <v>5</v>
      </c>
      <c r="G564" s="78">
        <f t="shared" si="8"/>
        <v>436.85</v>
      </c>
      <c r="H564" s="120">
        <v>43494</v>
      </c>
      <c r="I564" s="50">
        <v>0.82291666666666663</v>
      </c>
      <c r="J564" s="46" t="s">
        <v>23</v>
      </c>
      <c r="K564" s="51">
        <v>6.6</v>
      </c>
      <c r="L564" s="122" t="str">
        <f>IF(AND(Tabla_Ventas[[#This Row],[VENTA TOTAL]]&gt;=30,Tabla_Ventas[[#This Row],[TIPO DE CLIENTE/ Customer type]]="Member"),"PARTICIPA","NO PARTICIPA")</f>
        <v>PARTICIPA</v>
      </c>
    </row>
    <row r="565" spans="1:12" ht="19" x14ac:dyDescent="0.25">
      <c r="A565" s="45">
        <v>258927466</v>
      </c>
      <c r="B565" s="46" t="s">
        <v>19</v>
      </c>
      <c r="C565" s="46" t="s">
        <v>18</v>
      </c>
      <c r="D565" s="46" t="s">
        <v>20</v>
      </c>
      <c r="E565" s="49">
        <v>35.68</v>
      </c>
      <c r="F565" s="48">
        <v>5</v>
      </c>
      <c r="G565" s="78">
        <f t="shared" si="8"/>
        <v>178.4</v>
      </c>
      <c r="H565" s="120">
        <v>43502</v>
      </c>
      <c r="I565" s="50">
        <v>0.7729166666666667</v>
      </c>
      <c r="J565" s="46" t="s">
        <v>15</v>
      </c>
      <c r="K565" s="51">
        <v>6.6</v>
      </c>
      <c r="L565" s="122" t="str">
        <f>IF(AND(Tabla_Ventas[[#This Row],[VENTA TOTAL]]&gt;=30,Tabla_Ventas[[#This Row],[TIPO DE CLIENTE/ Customer type]]="Member"),"PARTICIPA","NO PARTICIPA")</f>
        <v>NO PARTICIPA</v>
      </c>
    </row>
    <row r="566" spans="1:12" ht="19" x14ac:dyDescent="0.25">
      <c r="A566" s="45">
        <v>149140304</v>
      </c>
      <c r="B566" s="46" t="s">
        <v>16</v>
      </c>
      <c r="C566" s="46" t="s">
        <v>13</v>
      </c>
      <c r="D566" s="46" t="s">
        <v>20</v>
      </c>
      <c r="E566" s="49">
        <v>28.5</v>
      </c>
      <c r="F566" s="48">
        <v>8</v>
      </c>
      <c r="G566" s="78">
        <f t="shared" si="8"/>
        <v>228</v>
      </c>
      <c r="H566" s="120">
        <v>43502</v>
      </c>
      <c r="I566" s="50">
        <v>0.6</v>
      </c>
      <c r="J566" s="46" t="s">
        <v>23</v>
      </c>
      <c r="K566" s="51">
        <v>6.6</v>
      </c>
      <c r="L566" s="122" t="str">
        <f>IF(AND(Tabla_Ventas[[#This Row],[VENTA TOTAL]]&gt;=30,Tabla_Ventas[[#This Row],[TIPO DE CLIENTE/ Customer type]]="Member"),"PARTICIPA","NO PARTICIPA")</f>
        <v>PARTICIPA</v>
      </c>
    </row>
    <row r="567" spans="1:12" ht="19" x14ac:dyDescent="0.25">
      <c r="A567" s="45">
        <v>787872010</v>
      </c>
      <c r="B567" s="46" t="s">
        <v>19</v>
      </c>
      <c r="C567" s="46" t="s">
        <v>13</v>
      </c>
      <c r="D567" s="46" t="s">
        <v>20</v>
      </c>
      <c r="E567" s="49">
        <v>55.5</v>
      </c>
      <c r="F567" s="48">
        <v>4</v>
      </c>
      <c r="G567" s="78">
        <f t="shared" si="8"/>
        <v>222</v>
      </c>
      <c r="H567" s="120">
        <v>43485</v>
      </c>
      <c r="I567" s="50">
        <v>0.65833333333333333</v>
      </c>
      <c r="J567" s="46" t="s">
        <v>15</v>
      </c>
      <c r="K567" s="51">
        <v>6.6</v>
      </c>
      <c r="L567" s="122" t="str">
        <f>IF(AND(Tabla_Ventas[[#This Row],[VENTA TOTAL]]&gt;=30,Tabla_Ventas[[#This Row],[TIPO DE CLIENTE/ Customer type]]="Member"),"PARTICIPA","NO PARTICIPA")</f>
        <v>PARTICIPA</v>
      </c>
    </row>
    <row r="568" spans="1:12" ht="19" x14ac:dyDescent="0.25">
      <c r="A568" s="45">
        <v>702720487</v>
      </c>
      <c r="B568" s="46" t="s">
        <v>19</v>
      </c>
      <c r="C568" s="46" t="s">
        <v>18</v>
      </c>
      <c r="D568" s="46" t="s">
        <v>21</v>
      </c>
      <c r="E568" s="49">
        <v>46.61</v>
      </c>
      <c r="F568" s="48">
        <v>2</v>
      </c>
      <c r="G568" s="78">
        <f t="shared" si="8"/>
        <v>93.22</v>
      </c>
      <c r="H568" s="120">
        <v>43522</v>
      </c>
      <c r="I568" s="50">
        <v>0.51944444444444449</v>
      </c>
      <c r="J568" s="46" t="s">
        <v>15</v>
      </c>
      <c r="K568" s="51">
        <v>6.6</v>
      </c>
      <c r="L568" s="122" t="str">
        <f>IF(AND(Tabla_Ventas[[#This Row],[VENTA TOTAL]]&gt;=30,Tabla_Ventas[[#This Row],[TIPO DE CLIENTE/ Customer type]]="Member"),"PARTICIPA","NO PARTICIPA")</f>
        <v>NO PARTICIPA</v>
      </c>
    </row>
    <row r="569" spans="1:12" ht="19" x14ac:dyDescent="0.25">
      <c r="A569" s="45">
        <v>569762760</v>
      </c>
      <c r="B569" s="46" t="s">
        <v>19</v>
      </c>
      <c r="C569" s="46" t="s">
        <v>13</v>
      </c>
      <c r="D569" s="46" t="s">
        <v>14</v>
      </c>
      <c r="E569" s="49">
        <v>22.01</v>
      </c>
      <c r="F569" s="48">
        <v>4</v>
      </c>
      <c r="G569" s="78">
        <f t="shared" si="8"/>
        <v>88.04</v>
      </c>
      <c r="H569" s="120">
        <v>43494</v>
      </c>
      <c r="I569" s="50">
        <v>0.76041666666666663</v>
      </c>
      <c r="J569" s="46" t="s">
        <v>15</v>
      </c>
      <c r="K569" s="51">
        <v>6.6</v>
      </c>
      <c r="L569" s="122" t="str">
        <f>IF(AND(Tabla_Ventas[[#This Row],[VENTA TOTAL]]&gt;=30,Tabla_Ventas[[#This Row],[TIPO DE CLIENTE/ Customer type]]="Member"),"PARTICIPA","NO PARTICIPA")</f>
        <v>PARTICIPA</v>
      </c>
    </row>
    <row r="570" spans="1:12" ht="19" x14ac:dyDescent="0.25">
      <c r="A570" s="45">
        <v>124311458</v>
      </c>
      <c r="B570" s="46" t="s">
        <v>19</v>
      </c>
      <c r="C570" s="46" t="s">
        <v>13</v>
      </c>
      <c r="D570" s="46" t="s">
        <v>21</v>
      </c>
      <c r="E570" s="49">
        <v>79.59</v>
      </c>
      <c r="F570" s="48">
        <v>3</v>
      </c>
      <c r="G570" s="78">
        <f t="shared" si="8"/>
        <v>238.77</v>
      </c>
      <c r="H570" s="120">
        <v>43473</v>
      </c>
      <c r="I570" s="50">
        <v>0.60416666666666663</v>
      </c>
      <c r="J570" s="46" t="s">
        <v>23</v>
      </c>
      <c r="K570" s="51">
        <v>6.6</v>
      </c>
      <c r="L570" s="122" t="str">
        <f>IF(AND(Tabla_Ventas[[#This Row],[VENTA TOTAL]]&gt;=30,Tabla_Ventas[[#This Row],[TIPO DE CLIENTE/ Customer type]]="Member"),"PARTICIPA","NO PARTICIPA")</f>
        <v>PARTICIPA</v>
      </c>
    </row>
    <row r="571" spans="1:12" ht="19" x14ac:dyDescent="0.25">
      <c r="A571" s="45">
        <v>851983555</v>
      </c>
      <c r="B571" s="46" t="s">
        <v>12</v>
      </c>
      <c r="C571" s="46" t="s">
        <v>18</v>
      </c>
      <c r="D571" s="46" t="s">
        <v>20</v>
      </c>
      <c r="E571" s="49">
        <v>82.88</v>
      </c>
      <c r="F571" s="48">
        <v>5</v>
      </c>
      <c r="G571" s="78">
        <f t="shared" si="8"/>
        <v>414.4</v>
      </c>
      <c r="H571" s="120">
        <v>43548</v>
      </c>
      <c r="I571" s="50">
        <v>0.58888888888888891</v>
      </c>
      <c r="J571" s="46" t="s">
        <v>15</v>
      </c>
      <c r="K571" s="51">
        <v>6.6</v>
      </c>
      <c r="L571" s="122" t="str">
        <f>IF(AND(Tabla_Ventas[[#This Row],[VENTA TOTAL]]&gt;=30,Tabla_Ventas[[#This Row],[TIPO DE CLIENTE/ Customer type]]="Member"),"PARTICIPA","NO PARTICIPA")</f>
        <v>NO PARTICIPA</v>
      </c>
    </row>
    <row r="572" spans="1:12" ht="19" x14ac:dyDescent="0.25">
      <c r="A572" s="45">
        <v>887420517</v>
      </c>
      <c r="B572" s="46" t="s">
        <v>16</v>
      </c>
      <c r="C572" s="46" t="s">
        <v>18</v>
      </c>
      <c r="D572" s="46" t="s">
        <v>14</v>
      </c>
      <c r="E572" s="49">
        <v>83.14</v>
      </c>
      <c r="F572" s="48">
        <v>7</v>
      </c>
      <c r="G572" s="78">
        <f t="shared" si="8"/>
        <v>581.98</v>
      </c>
      <c r="H572" s="120">
        <v>43475</v>
      </c>
      <c r="I572" s="50">
        <v>0.4381944444444445</v>
      </c>
      <c r="J572" s="46" t="s">
        <v>15</v>
      </c>
      <c r="K572" s="51">
        <v>6.6</v>
      </c>
      <c r="L572" s="122" t="str">
        <f>IF(AND(Tabla_Ventas[[#This Row],[VENTA TOTAL]]&gt;=30,Tabla_Ventas[[#This Row],[TIPO DE CLIENTE/ Customer type]]="Member"),"PARTICIPA","NO PARTICIPA")</f>
        <v>NO PARTICIPA</v>
      </c>
    </row>
    <row r="573" spans="1:12" ht="19" x14ac:dyDescent="0.25">
      <c r="A573" s="45">
        <v>702835291</v>
      </c>
      <c r="B573" s="46" t="s">
        <v>16</v>
      </c>
      <c r="C573" s="46" t="s">
        <v>13</v>
      </c>
      <c r="D573" s="46" t="s">
        <v>22</v>
      </c>
      <c r="E573" s="49">
        <v>99.82</v>
      </c>
      <c r="F573" s="48">
        <v>9</v>
      </c>
      <c r="G573" s="78">
        <f t="shared" si="8"/>
        <v>898.37999999999988</v>
      </c>
      <c r="H573" s="120">
        <v>43551</v>
      </c>
      <c r="I573" s="50">
        <v>0.4465277777777778</v>
      </c>
      <c r="J573" s="46" t="s">
        <v>23</v>
      </c>
      <c r="K573" s="51">
        <v>6.6</v>
      </c>
      <c r="L573" s="122" t="str">
        <f>IF(AND(Tabla_Ventas[[#This Row],[VENTA TOTAL]]&gt;=30,Tabla_Ventas[[#This Row],[TIPO DE CLIENTE/ Customer type]]="Member"),"PARTICIPA","NO PARTICIPA")</f>
        <v>PARTICIPA</v>
      </c>
    </row>
    <row r="574" spans="1:12" ht="19" x14ac:dyDescent="0.25">
      <c r="A574" s="45">
        <v>690016631</v>
      </c>
      <c r="B574" s="46" t="s">
        <v>12</v>
      </c>
      <c r="C574" s="46" t="s">
        <v>18</v>
      </c>
      <c r="D574" s="46" t="s">
        <v>22</v>
      </c>
      <c r="E574" s="49">
        <v>17.489999999999998</v>
      </c>
      <c r="F574" s="48">
        <v>10</v>
      </c>
      <c r="G574" s="78">
        <f t="shared" si="8"/>
        <v>174.89999999999998</v>
      </c>
      <c r="H574" s="120">
        <v>43518</v>
      </c>
      <c r="I574" s="50">
        <v>0.77430555555555547</v>
      </c>
      <c r="J574" s="46" t="s">
        <v>17</v>
      </c>
      <c r="K574" s="51">
        <v>6.6</v>
      </c>
      <c r="L574" s="122" t="str">
        <f>IF(AND(Tabla_Ventas[[#This Row],[VENTA TOTAL]]&gt;=30,Tabla_Ventas[[#This Row],[TIPO DE CLIENTE/ Customer type]]="Member"),"PARTICIPA","NO PARTICIPA")</f>
        <v>NO PARTICIPA</v>
      </c>
    </row>
    <row r="575" spans="1:12" ht="19" x14ac:dyDescent="0.25">
      <c r="A575" s="45">
        <v>849093807</v>
      </c>
      <c r="B575" s="46" t="s">
        <v>19</v>
      </c>
      <c r="C575" s="46" t="s">
        <v>13</v>
      </c>
      <c r="D575" s="46" t="s">
        <v>22</v>
      </c>
      <c r="E575" s="49">
        <v>88.34</v>
      </c>
      <c r="F575" s="48">
        <v>7</v>
      </c>
      <c r="G575" s="78">
        <f t="shared" si="8"/>
        <v>618.38</v>
      </c>
      <c r="H575" s="120">
        <v>43514</v>
      </c>
      <c r="I575" s="50">
        <v>0.56111111111111112</v>
      </c>
      <c r="J575" s="46" t="s">
        <v>23</v>
      </c>
      <c r="K575" s="51">
        <v>6.6</v>
      </c>
      <c r="L575" s="122" t="str">
        <f>IF(AND(Tabla_Ventas[[#This Row],[VENTA TOTAL]]&gt;=30,Tabla_Ventas[[#This Row],[TIPO DE CLIENTE/ Customer type]]="Member"),"PARTICIPA","NO PARTICIPA")</f>
        <v>PARTICIPA</v>
      </c>
    </row>
    <row r="576" spans="1:12" ht="19" x14ac:dyDescent="0.25">
      <c r="A576" s="45">
        <v>616242851</v>
      </c>
      <c r="B576" s="46" t="s">
        <v>16</v>
      </c>
      <c r="C576" s="46" t="s">
        <v>13</v>
      </c>
      <c r="D576" s="46" t="s">
        <v>22</v>
      </c>
      <c r="E576" s="47">
        <v>17.87</v>
      </c>
      <c r="F576" s="48">
        <v>4</v>
      </c>
      <c r="G576" s="78">
        <f t="shared" si="8"/>
        <v>71.48</v>
      </c>
      <c r="H576" s="120">
        <v>43519</v>
      </c>
      <c r="I576" s="50">
        <v>0.61249999999999993</v>
      </c>
      <c r="J576" s="46" t="s">
        <v>17</v>
      </c>
      <c r="K576" s="51">
        <v>6.5</v>
      </c>
      <c r="L576" s="122" t="str">
        <f>IF(AND(Tabla_Ventas[[#This Row],[VENTA TOTAL]]&gt;=30,Tabla_Ventas[[#This Row],[TIPO DE CLIENTE/ Customer type]]="Member"),"PARTICIPA","NO PARTICIPA")</f>
        <v>PARTICIPA</v>
      </c>
    </row>
    <row r="577" spans="1:12" ht="19" x14ac:dyDescent="0.25">
      <c r="A577" s="45">
        <v>242556721</v>
      </c>
      <c r="B577" s="46" t="s">
        <v>16</v>
      </c>
      <c r="C577" s="46" t="s">
        <v>18</v>
      </c>
      <c r="D577" s="46" t="s">
        <v>25</v>
      </c>
      <c r="E577" s="47">
        <v>16.16</v>
      </c>
      <c r="F577" s="48">
        <v>2</v>
      </c>
      <c r="G577" s="78">
        <f t="shared" si="8"/>
        <v>32.32</v>
      </c>
      <c r="H577" s="120">
        <v>43531</v>
      </c>
      <c r="I577" s="50">
        <v>0.49236111111111108</v>
      </c>
      <c r="J577" s="46" t="s">
        <v>17</v>
      </c>
      <c r="K577" s="51">
        <v>6.5</v>
      </c>
      <c r="L577" s="122" t="str">
        <f>IF(AND(Tabla_Ventas[[#This Row],[VENTA TOTAL]]&gt;=30,Tabla_Ventas[[#This Row],[TIPO DE CLIENTE/ Customer type]]="Member"),"PARTICIPA","NO PARTICIPA")</f>
        <v>NO PARTICIPA</v>
      </c>
    </row>
    <row r="578" spans="1:12" ht="19" x14ac:dyDescent="0.25">
      <c r="A578" s="45">
        <v>659361684</v>
      </c>
      <c r="B578" s="46" t="s">
        <v>12</v>
      </c>
      <c r="C578" s="46" t="s">
        <v>13</v>
      </c>
      <c r="D578" s="46" t="s">
        <v>14</v>
      </c>
      <c r="E578" s="47">
        <v>57.12</v>
      </c>
      <c r="F578" s="48">
        <v>7</v>
      </c>
      <c r="G578" s="78">
        <f t="shared" si="8"/>
        <v>399.84</v>
      </c>
      <c r="H578" s="120">
        <v>43477</v>
      </c>
      <c r="I578" s="50">
        <v>0.50138888888888888</v>
      </c>
      <c r="J578" s="46" t="s">
        <v>15</v>
      </c>
      <c r="K578" s="51">
        <v>6.5</v>
      </c>
      <c r="L578" s="122" t="str">
        <f>IF(AND(Tabla_Ventas[[#This Row],[VENTA TOTAL]]&gt;=30,Tabla_Ventas[[#This Row],[TIPO DE CLIENTE/ Customer type]]="Member"),"PARTICIPA","NO PARTICIPA")</f>
        <v>PARTICIPA</v>
      </c>
    </row>
    <row r="579" spans="1:12" ht="19" x14ac:dyDescent="0.25">
      <c r="A579" s="45">
        <v>423800988</v>
      </c>
      <c r="B579" s="46" t="s">
        <v>12</v>
      </c>
      <c r="C579" s="46" t="s">
        <v>18</v>
      </c>
      <c r="D579" s="46" t="s">
        <v>14</v>
      </c>
      <c r="E579" s="47">
        <v>76.400000000000006</v>
      </c>
      <c r="F579" s="48">
        <v>2</v>
      </c>
      <c r="G579" s="78">
        <f t="shared" si="8"/>
        <v>152.80000000000001</v>
      </c>
      <c r="H579" s="120">
        <v>43495</v>
      </c>
      <c r="I579" s="50">
        <v>0.8208333333333333</v>
      </c>
      <c r="J579" s="46" t="s">
        <v>17</v>
      </c>
      <c r="K579" s="51">
        <v>6.5</v>
      </c>
      <c r="L579" s="122" t="str">
        <f>IF(AND(Tabla_Ventas[[#This Row],[VENTA TOTAL]]&gt;=30,Tabla_Ventas[[#This Row],[TIPO DE CLIENTE/ Customer type]]="Member"),"PARTICIPA","NO PARTICIPA")</f>
        <v>NO PARTICIPA</v>
      </c>
    </row>
    <row r="580" spans="1:12" ht="19" x14ac:dyDescent="0.25">
      <c r="A580" s="45">
        <v>796329050</v>
      </c>
      <c r="B580" s="46" t="s">
        <v>19</v>
      </c>
      <c r="C580" s="46" t="s">
        <v>18</v>
      </c>
      <c r="D580" s="46" t="s">
        <v>24</v>
      </c>
      <c r="E580" s="47">
        <v>51.28</v>
      </c>
      <c r="F580" s="48">
        <v>6</v>
      </c>
      <c r="G580" s="78">
        <f t="shared" ref="G580:G643" si="9">F580*E580</f>
        <v>307.68</v>
      </c>
      <c r="H580" s="120">
        <v>43484</v>
      </c>
      <c r="I580" s="50">
        <v>0.68819444444444444</v>
      </c>
      <c r="J580" s="46" t="s">
        <v>23</v>
      </c>
      <c r="K580" s="51">
        <v>6.5</v>
      </c>
      <c r="L580" s="122" t="str">
        <f>IF(AND(Tabla_Ventas[[#This Row],[VENTA TOTAL]]&gt;=30,Tabla_Ventas[[#This Row],[TIPO DE CLIENTE/ Customer type]]="Member"),"PARTICIPA","NO PARTICIPA")</f>
        <v>NO PARTICIPA</v>
      </c>
    </row>
    <row r="581" spans="1:12" ht="19" x14ac:dyDescent="0.25">
      <c r="A581" s="45">
        <v>817698206</v>
      </c>
      <c r="B581" s="46" t="s">
        <v>16</v>
      </c>
      <c r="C581" s="46" t="s">
        <v>18</v>
      </c>
      <c r="D581" s="46" t="s">
        <v>21</v>
      </c>
      <c r="E581" s="47">
        <v>99.73</v>
      </c>
      <c r="F581" s="48">
        <v>9</v>
      </c>
      <c r="G581" s="78">
        <f t="shared" si="9"/>
        <v>897.57</v>
      </c>
      <c r="H581" s="120">
        <v>43499</v>
      </c>
      <c r="I581" s="50">
        <v>0.8208333333333333</v>
      </c>
      <c r="J581" s="46" t="s">
        <v>15</v>
      </c>
      <c r="K581" s="51">
        <v>6.5</v>
      </c>
      <c r="L581" s="122" t="str">
        <f>IF(AND(Tabla_Ventas[[#This Row],[VENTA TOTAL]]&gt;=30,Tabla_Ventas[[#This Row],[TIPO DE CLIENTE/ Customer type]]="Member"),"PARTICIPA","NO PARTICIPA")</f>
        <v>NO PARTICIPA</v>
      </c>
    </row>
    <row r="582" spans="1:12" ht="19" x14ac:dyDescent="0.25">
      <c r="A582" s="45">
        <v>891588335</v>
      </c>
      <c r="B582" s="46" t="s">
        <v>16</v>
      </c>
      <c r="C582" s="46" t="s">
        <v>13</v>
      </c>
      <c r="D582" s="46" t="s">
        <v>14</v>
      </c>
      <c r="E582" s="47">
        <v>29.61</v>
      </c>
      <c r="F582" s="48">
        <v>7</v>
      </c>
      <c r="G582" s="78">
        <f t="shared" si="9"/>
        <v>207.26999999999998</v>
      </c>
      <c r="H582" s="120">
        <v>43478</v>
      </c>
      <c r="I582" s="50">
        <v>0.66180555555555554</v>
      </c>
      <c r="J582" s="46" t="s">
        <v>23</v>
      </c>
      <c r="K582" s="51">
        <v>6.5</v>
      </c>
      <c r="L582" s="122" t="str">
        <f>IF(AND(Tabla_Ventas[[#This Row],[VENTA TOTAL]]&gt;=30,Tabla_Ventas[[#This Row],[TIPO DE CLIENTE/ Customer type]]="Member"),"PARTICIPA","NO PARTICIPA")</f>
        <v>PARTICIPA</v>
      </c>
    </row>
    <row r="583" spans="1:12" ht="19" x14ac:dyDescent="0.25">
      <c r="A583" s="45">
        <v>289655721</v>
      </c>
      <c r="B583" s="46" t="s">
        <v>16</v>
      </c>
      <c r="C583" s="46" t="s">
        <v>18</v>
      </c>
      <c r="D583" s="46" t="s">
        <v>22</v>
      </c>
      <c r="E583" s="47">
        <v>81.37</v>
      </c>
      <c r="F583" s="48">
        <v>2</v>
      </c>
      <c r="G583" s="78">
        <f t="shared" si="9"/>
        <v>162.74</v>
      </c>
      <c r="H583" s="120">
        <v>43491</v>
      </c>
      <c r="I583" s="50">
        <v>0.81111111111111101</v>
      </c>
      <c r="J583" s="46" t="s">
        <v>23</v>
      </c>
      <c r="K583" s="51">
        <v>6.5</v>
      </c>
      <c r="L583" s="122" t="str">
        <f>IF(AND(Tabla_Ventas[[#This Row],[VENTA TOTAL]]&gt;=30,Tabla_Ventas[[#This Row],[TIPO DE CLIENTE/ Customer type]]="Member"),"PARTICIPA","NO PARTICIPA")</f>
        <v>NO PARTICIPA</v>
      </c>
    </row>
    <row r="584" spans="1:12" ht="19" x14ac:dyDescent="0.25">
      <c r="A584" s="45">
        <v>157135295</v>
      </c>
      <c r="B584" s="46" t="s">
        <v>19</v>
      </c>
      <c r="C584" s="46" t="s">
        <v>13</v>
      </c>
      <c r="D584" s="46" t="s">
        <v>20</v>
      </c>
      <c r="E584" s="47">
        <v>51.94</v>
      </c>
      <c r="F584" s="48">
        <v>10</v>
      </c>
      <c r="G584" s="78">
        <f t="shared" si="9"/>
        <v>519.4</v>
      </c>
      <c r="H584" s="120">
        <v>43533</v>
      </c>
      <c r="I584" s="50">
        <v>0.76666666666666661</v>
      </c>
      <c r="J584" s="46" t="s">
        <v>17</v>
      </c>
      <c r="K584" s="51">
        <v>6.5</v>
      </c>
      <c r="L584" s="122" t="str">
        <f>IF(AND(Tabla_Ventas[[#This Row],[VENTA TOTAL]]&gt;=30,Tabla_Ventas[[#This Row],[TIPO DE CLIENTE/ Customer type]]="Member"),"PARTICIPA","NO PARTICIPA")</f>
        <v>PARTICIPA</v>
      </c>
    </row>
    <row r="585" spans="1:12" ht="19" x14ac:dyDescent="0.25">
      <c r="A585" s="45">
        <v>151161484</v>
      </c>
      <c r="B585" s="46" t="s">
        <v>19</v>
      </c>
      <c r="C585" s="46" t="s">
        <v>13</v>
      </c>
      <c r="D585" s="46" t="s">
        <v>21</v>
      </c>
      <c r="E585" s="47">
        <v>32.25</v>
      </c>
      <c r="F585" s="48">
        <v>4</v>
      </c>
      <c r="G585" s="78">
        <f t="shared" si="9"/>
        <v>129</v>
      </c>
      <c r="H585" s="120">
        <v>43509</v>
      </c>
      <c r="I585" s="50">
        <v>0.52638888888888891</v>
      </c>
      <c r="J585" s="46" t="s">
        <v>17</v>
      </c>
      <c r="K585" s="51">
        <v>6.5</v>
      </c>
      <c r="L585" s="122" t="str">
        <f>IF(AND(Tabla_Ventas[[#This Row],[VENTA TOTAL]]&gt;=30,Tabla_Ventas[[#This Row],[TIPO DE CLIENTE/ Customer type]]="Member"),"PARTICIPA","NO PARTICIPA")</f>
        <v>PARTICIPA</v>
      </c>
    </row>
    <row r="586" spans="1:12" ht="19" x14ac:dyDescent="0.25">
      <c r="A586" s="45">
        <v>490291201</v>
      </c>
      <c r="B586" s="46" t="s">
        <v>19</v>
      </c>
      <c r="C586" s="46" t="s">
        <v>18</v>
      </c>
      <c r="D586" s="46" t="s">
        <v>14</v>
      </c>
      <c r="E586" s="47">
        <v>15.34</v>
      </c>
      <c r="F586" s="48">
        <v>1</v>
      </c>
      <c r="G586" s="78">
        <f t="shared" si="9"/>
        <v>15.34</v>
      </c>
      <c r="H586" s="120">
        <v>43471</v>
      </c>
      <c r="I586" s="50">
        <v>0.46458333333333335</v>
      </c>
      <c r="J586" s="46" t="s">
        <v>23</v>
      </c>
      <c r="K586" s="51">
        <v>6.5</v>
      </c>
      <c r="L586" s="122" t="str">
        <f>IF(AND(Tabla_Ventas[[#This Row],[VENTA TOTAL]]&gt;=30,Tabla_Ventas[[#This Row],[TIPO DE CLIENTE/ Customer type]]="Member"),"PARTICIPA","NO PARTICIPA")</f>
        <v>NO PARTICIPA</v>
      </c>
    </row>
    <row r="587" spans="1:12" ht="19" x14ac:dyDescent="0.25">
      <c r="A587" s="45">
        <v>453636187</v>
      </c>
      <c r="B587" s="46" t="s">
        <v>16</v>
      </c>
      <c r="C587" s="46" t="s">
        <v>18</v>
      </c>
      <c r="D587" s="46" t="s">
        <v>21</v>
      </c>
      <c r="E587" s="47">
        <v>27.5</v>
      </c>
      <c r="F587" s="48">
        <v>3</v>
      </c>
      <c r="G587" s="78">
        <f t="shared" si="9"/>
        <v>82.5</v>
      </c>
      <c r="H587" s="120">
        <v>43468</v>
      </c>
      <c r="I587" s="50">
        <v>0.65277777777777779</v>
      </c>
      <c r="J587" s="46" t="s">
        <v>17</v>
      </c>
      <c r="K587" s="51">
        <v>6.5</v>
      </c>
      <c r="L587" s="122" t="str">
        <f>IF(AND(Tabla_Ventas[[#This Row],[VENTA TOTAL]]&gt;=30,Tabla_Ventas[[#This Row],[TIPO DE CLIENTE/ Customer type]]="Member"),"PARTICIPA","NO PARTICIPA")</f>
        <v>NO PARTICIPA</v>
      </c>
    </row>
    <row r="588" spans="1:12" ht="19" x14ac:dyDescent="0.25">
      <c r="A588" s="45">
        <v>810606344</v>
      </c>
      <c r="B588" s="46" t="s">
        <v>12</v>
      </c>
      <c r="C588" s="46" t="s">
        <v>18</v>
      </c>
      <c r="D588" s="46" t="s">
        <v>21</v>
      </c>
      <c r="E588" s="47">
        <v>40.86</v>
      </c>
      <c r="F588" s="48">
        <v>8</v>
      </c>
      <c r="G588" s="78">
        <f t="shared" si="9"/>
        <v>326.88</v>
      </c>
      <c r="H588" s="120">
        <v>43503</v>
      </c>
      <c r="I588" s="50">
        <v>0.60972222222222217</v>
      </c>
      <c r="J588" s="46" t="s">
        <v>15</v>
      </c>
      <c r="K588" s="51">
        <v>6.5</v>
      </c>
      <c r="L588" s="122" t="str">
        <f>IF(AND(Tabla_Ventas[[#This Row],[VENTA TOTAL]]&gt;=30,Tabla_Ventas[[#This Row],[TIPO DE CLIENTE/ Customer type]]="Member"),"PARTICIPA","NO PARTICIPA")</f>
        <v>NO PARTICIPA</v>
      </c>
    </row>
    <row r="589" spans="1:12" ht="19" x14ac:dyDescent="0.25">
      <c r="A589" s="45">
        <v>138175109</v>
      </c>
      <c r="B589" s="46" t="s">
        <v>19</v>
      </c>
      <c r="C589" s="46" t="s">
        <v>13</v>
      </c>
      <c r="D589" s="46" t="s">
        <v>25</v>
      </c>
      <c r="E589" s="47">
        <v>89.21</v>
      </c>
      <c r="F589" s="48">
        <v>9</v>
      </c>
      <c r="G589" s="78">
        <f t="shared" si="9"/>
        <v>802.89</v>
      </c>
      <c r="H589" s="120">
        <v>43480</v>
      </c>
      <c r="I589" s="50">
        <v>0.65416666666666667</v>
      </c>
      <c r="J589" s="46" t="s">
        <v>15</v>
      </c>
      <c r="K589" s="51">
        <v>6.5</v>
      </c>
      <c r="L589" s="122" t="str">
        <f>IF(AND(Tabla_Ventas[[#This Row],[VENTA TOTAL]]&gt;=30,Tabla_Ventas[[#This Row],[TIPO DE CLIENTE/ Customer type]]="Member"),"PARTICIPA","NO PARTICIPA")</f>
        <v>PARTICIPA</v>
      </c>
    </row>
    <row r="590" spans="1:12" ht="19" x14ac:dyDescent="0.25">
      <c r="A590" s="45">
        <v>453127053</v>
      </c>
      <c r="B590" s="46" t="s">
        <v>12</v>
      </c>
      <c r="C590" s="46" t="s">
        <v>18</v>
      </c>
      <c r="D590" s="46" t="s">
        <v>22</v>
      </c>
      <c r="E590" s="47">
        <v>45.74</v>
      </c>
      <c r="F590" s="48">
        <v>3</v>
      </c>
      <c r="G590" s="78">
        <f t="shared" si="9"/>
        <v>137.22</v>
      </c>
      <c r="H590" s="120">
        <v>43534</v>
      </c>
      <c r="I590" s="50">
        <v>0.73472222222222217</v>
      </c>
      <c r="J590" s="46" t="s">
        <v>15</v>
      </c>
      <c r="K590" s="51">
        <v>6.5</v>
      </c>
      <c r="L590" s="122" t="str">
        <f>IF(AND(Tabla_Ventas[[#This Row],[VENTA TOTAL]]&gt;=30,Tabla_Ventas[[#This Row],[TIPO DE CLIENTE/ Customer type]]="Member"),"PARTICIPA","NO PARTICIPA")</f>
        <v>NO PARTICIPA</v>
      </c>
    </row>
    <row r="591" spans="1:12" ht="19" x14ac:dyDescent="0.25">
      <c r="A591" s="45">
        <v>747587183</v>
      </c>
      <c r="B591" s="46" t="s">
        <v>16</v>
      </c>
      <c r="C591" s="46" t="s">
        <v>18</v>
      </c>
      <c r="D591" s="46" t="s">
        <v>22</v>
      </c>
      <c r="E591" s="47">
        <v>57.27</v>
      </c>
      <c r="F591" s="48">
        <v>3</v>
      </c>
      <c r="G591" s="78">
        <f t="shared" si="9"/>
        <v>171.81</v>
      </c>
      <c r="H591" s="120">
        <v>43710</v>
      </c>
      <c r="I591" s="50">
        <v>0.85486111111111107</v>
      </c>
      <c r="J591" s="46" t="s">
        <v>17</v>
      </c>
      <c r="K591" s="51">
        <v>6.5</v>
      </c>
      <c r="L591" s="122" t="str">
        <f>IF(AND(Tabla_Ventas[[#This Row],[VENTA TOTAL]]&gt;=30,Tabla_Ventas[[#This Row],[TIPO DE CLIENTE/ Customer type]]="Member"),"PARTICIPA","NO PARTICIPA")</f>
        <v>NO PARTICIPA</v>
      </c>
    </row>
    <row r="592" spans="1:12" ht="19" x14ac:dyDescent="0.25">
      <c r="A592" s="45">
        <v>528875606</v>
      </c>
      <c r="B592" s="46" t="s">
        <v>12</v>
      </c>
      <c r="C592" s="46" t="s">
        <v>13</v>
      </c>
      <c r="D592" s="46" t="s">
        <v>21</v>
      </c>
      <c r="E592" s="49">
        <v>39.479999999999997</v>
      </c>
      <c r="F592" s="48">
        <v>1</v>
      </c>
      <c r="G592" s="78">
        <f t="shared" si="9"/>
        <v>39.479999999999997</v>
      </c>
      <c r="H592" s="120">
        <v>43508</v>
      </c>
      <c r="I592" s="50">
        <v>0.82152777777777775</v>
      </c>
      <c r="J592" s="46" t="s">
        <v>23</v>
      </c>
      <c r="K592" s="51">
        <v>6.5</v>
      </c>
      <c r="L592" s="122" t="str">
        <f>IF(AND(Tabla_Ventas[[#This Row],[VENTA TOTAL]]&gt;=30,Tabla_Ventas[[#This Row],[TIPO DE CLIENTE/ Customer type]]="Member"),"PARTICIPA","NO PARTICIPA")</f>
        <v>PARTICIPA</v>
      </c>
    </row>
    <row r="593" spans="1:12" ht="19" x14ac:dyDescent="0.25">
      <c r="A593" s="45">
        <v>815046282</v>
      </c>
      <c r="B593" s="46" t="s">
        <v>16</v>
      </c>
      <c r="C593" s="46" t="s">
        <v>13</v>
      </c>
      <c r="D593" s="46" t="s">
        <v>14</v>
      </c>
      <c r="E593" s="49">
        <v>64.97</v>
      </c>
      <c r="F593" s="48">
        <v>5</v>
      </c>
      <c r="G593" s="78">
        <f t="shared" si="9"/>
        <v>324.85000000000002</v>
      </c>
      <c r="H593" s="120">
        <v>43504</v>
      </c>
      <c r="I593" s="50">
        <v>0.53611111111111109</v>
      </c>
      <c r="J593" s="46" t="s">
        <v>15</v>
      </c>
      <c r="K593" s="51">
        <v>6.5</v>
      </c>
      <c r="L593" s="122" t="str">
        <f>IF(AND(Tabla_Ventas[[#This Row],[VENTA TOTAL]]&gt;=30,Tabla_Ventas[[#This Row],[TIPO DE CLIENTE/ Customer type]]="Member"),"PARTICIPA","NO PARTICIPA")</f>
        <v>PARTICIPA</v>
      </c>
    </row>
    <row r="594" spans="1:12" ht="19" x14ac:dyDescent="0.25">
      <c r="A594" s="45">
        <v>361590574</v>
      </c>
      <c r="B594" s="46" t="s">
        <v>12</v>
      </c>
      <c r="C594" s="46" t="s">
        <v>13</v>
      </c>
      <c r="D594" s="46" t="s">
        <v>14</v>
      </c>
      <c r="E594" s="49">
        <v>90.53</v>
      </c>
      <c r="F594" s="48">
        <v>8</v>
      </c>
      <c r="G594" s="78">
        <f t="shared" si="9"/>
        <v>724.24</v>
      </c>
      <c r="H594" s="120">
        <v>43539</v>
      </c>
      <c r="I594" s="50">
        <v>0.6166666666666667</v>
      </c>
      <c r="J594" s="46" t="s">
        <v>15</v>
      </c>
      <c r="K594" s="51">
        <v>6.5</v>
      </c>
      <c r="L594" s="122" t="str">
        <f>IF(AND(Tabla_Ventas[[#This Row],[VENTA TOTAL]]&gt;=30,Tabla_Ventas[[#This Row],[TIPO DE CLIENTE/ Customer type]]="Member"),"PARTICIPA","NO PARTICIPA")</f>
        <v>PARTICIPA</v>
      </c>
    </row>
    <row r="595" spans="1:12" ht="19" x14ac:dyDescent="0.25">
      <c r="A595" s="45">
        <v>457120244</v>
      </c>
      <c r="B595" s="46" t="s">
        <v>16</v>
      </c>
      <c r="C595" s="46" t="s">
        <v>13</v>
      </c>
      <c r="D595" s="46" t="s">
        <v>14</v>
      </c>
      <c r="E595" s="49">
        <v>35.22</v>
      </c>
      <c r="F595" s="48">
        <v>6</v>
      </c>
      <c r="G595" s="78">
        <f t="shared" si="9"/>
        <v>211.32</v>
      </c>
      <c r="H595" s="120">
        <v>43538</v>
      </c>
      <c r="I595" s="50">
        <v>0.5756944444444444</v>
      </c>
      <c r="J595" s="46" t="s">
        <v>17</v>
      </c>
      <c r="K595" s="51">
        <v>6.5</v>
      </c>
      <c r="L595" s="122" t="str">
        <f>IF(AND(Tabla_Ventas[[#This Row],[VENTA TOTAL]]&gt;=30,Tabla_Ventas[[#This Row],[TIPO DE CLIENTE/ Customer type]]="Member"),"PARTICIPA","NO PARTICIPA")</f>
        <v>PARTICIPA</v>
      </c>
    </row>
    <row r="596" spans="1:12" ht="19" x14ac:dyDescent="0.25">
      <c r="A596" s="45">
        <v>151337434</v>
      </c>
      <c r="B596" s="46" t="s">
        <v>12</v>
      </c>
      <c r="C596" s="46" t="s">
        <v>18</v>
      </c>
      <c r="D596" s="46" t="s">
        <v>24</v>
      </c>
      <c r="E596" s="49">
        <v>67.77</v>
      </c>
      <c r="F596" s="48">
        <v>1</v>
      </c>
      <c r="G596" s="78">
        <f t="shared" si="9"/>
        <v>67.77</v>
      </c>
      <c r="H596" s="120">
        <v>43500</v>
      </c>
      <c r="I596" s="50">
        <v>0.86319444444444438</v>
      </c>
      <c r="J596" s="46" t="s">
        <v>15</v>
      </c>
      <c r="K596" s="51">
        <v>6.5</v>
      </c>
      <c r="L596" s="122" t="str">
        <f>IF(AND(Tabla_Ventas[[#This Row],[VENTA TOTAL]]&gt;=30,Tabla_Ventas[[#This Row],[TIPO DE CLIENTE/ Customer type]]="Member"),"PARTICIPA","NO PARTICIPA")</f>
        <v>NO PARTICIPA</v>
      </c>
    </row>
    <row r="597" spans="1:12" ht="19" x14ac:dyDescent="0.25">
      <c r="A597" s="45">
        <v>232113025</v>
      </c>
      <c r="B597" s="46" t="s">
        <v>19</v>
      </c>
      <c r="C597" s="46" t="s">
        <v>18</v>
      </c>
      <c r="D597" s="46" t="s">
        <v>14</v>
      </c>
      <c r="E597" s="47">
        <v>78.77</v>
      </c>
      <c r="F597" s="48">
        <v>10</v>
      </c>
      <c r="G597" s="78">
        <f t="shared" si="9"/>
        <v>787.69999999999993</v>
      </c>
      <c r="H597" s="120">
        <v>43489</v>
      </c>
      <c r="I597" s="50">
        <v>0.41944444444444445</v>
      </c>
      <c r="J597" s="46" t="s">
        <v>23</v>
      </c>
      <c r="K597" s="51">
        <v>6.4</v>
      </c>
      <c r="L597" s="122" t="str">
        <f>IF(AND(Tabla_Ventas[[#This Row],[VENTA TOTAL]]&gt;=30,Tabla_Ventas[[#This Row],[TIPO DE CLIENTE/ Customer type]]="Member"),"PARTICIPA","NO PARTICIPA")</f>
        <v>NO PARTICIPA</v>
      </c>
    </row>
    <row r="598" spans="1:12" ht="19" x14ac:dyDescent="0.25">
      <c r="A598" s="45">
        <v>847387188</v>
      </c>
      <c r="B598" s="46" t="s">
        <v>16</v>
      </c>
      <c r="C598" s="46" t="s">
        <v>18</v>
      </c>
      <c r="D598" s="46" t="s">
        <v>24</v>
      </c>
      <c r="E598" s="47">
        <v>96.68</v>
      </c>
      <c r="F598" s="48">
        <v>3</v>
      </c>
      <c r="G598" s="78">
        <f t="shared" si="9"/>
        <v>290.04000000000002</v>
      </c>
      <c r="H598" s="120">
        <v>43491</v>
      </c>
      <c r="I598" s="50">
        <v>0.8305555555555556</v>
      </c>
      <c r="J598" s="46" t="s">
        <v>17</v>
      </c>
      <c r="K598" s="51">
        <v>6.4</v>
      </c>
      <c r="L598" s="122" t="str">
        <f>IF(AND(Tabla_Ventas[[#This Row],[VENTA TOTAL]]&gt;=30,Tabla_Ventas[[#This Row],[TIPO DE CLIENTE/ Customer type]]="Member"),"PARTICIPA","NO PARTICIPA")</f>
        <v>NO PARTICIPA</v>
      </c>
    </row>
    <row r="599" spans="1:12" ht="19" x14ac:dyDescent="0.25">
      <c r="A599" s="45">
        <v>845510542</v>
      </c>
      <c r="B599" s="46" t="s">
        <v>16</v>
      </c>
      <c r="C599" s="46" t="s">
        <v>13</v>
      </c>
      <c r="D599" s="46" t="s">
        <v>24</v>
      </c>
      <c r="E599" s="47">
        <v>46.55</v>
      </c>
      <c r="F599" s="48">
        <v>9</v>
      </c>
      <c r="G599" s="78">
        <f t="shared" si="9"/>
        <v>418.95</v>
      </c>
      <c r="H599" s="120">
        <v>43498</v>
      </c>
      <c r="I599" s="50">
        <v>0.64861111111111114</v>
      </c>
      <c r="J599" s="46" t="s">
        <v>17</v>
      </c>
      <c r="K599" s="51">
        <v>6.4</v>
      </c>
      <c r="L599" s="122" t="str">
        <f>IF(AND(Tabla_Ventas[[#This Row],[VENTA TOTAL]]&gt;=30,Tabla_Ventas[[#This Row],[TIPO DE CLIENTE/ Customer type]]="Member"),"PARTICIPA","NO PARTICIPA")</f>
        <v>PARTICIPA</v>
      </c>
    </row>
    <row r="600" spans="1:12" ht="19" x14ac:dyDescent="0.25">
      <c r="A600" s="45">
        <v>376563573</v>
      </c>
      <c r="B600" s="46" t="s">
        <v>12</v>
      </c>
      <c r="C600" s="46" t="s">
        <v>18</v>
      </c>
      <c r="D600" s="46" t="s">
        <v>22</v>
      </c>
      <c r="E600" s="47">
        <v>95.42</v>
      </c>
      <c r="F600" s="48">
        <v>4</v>
      </c>
      <c r="G600" s="78">
        <f t="shared" si="9"/>
        <v>381.68</v>
      </c>
      <c r="H600" s="120">
        <v>43498</v>
      </c>
      <c r="I600" s="50">
        <v>0.55763888888888891</v>
      </c>
      <c r="J600" s="46" t="s">
        <v>17</v>
      </c>
      <c r="K600" s="51">
        <v>6.4</v>
      </c>
      <c r="L600" s="122" t="str">
        <f>IF(AND(Tabla_Ventas[[#This Row],[VENTA TOTAL]]&gt;=30,Tabla_Ventas[[#This Row],[TIPO DE CLIENTE/ Customer type]]="Member"),"PARTICIPA","NO PARTICIPA")</f>
        <v>NO PARTICIPA</v>
      </c>
    </row>
    <row r="601" spans="1:12" ht="19" x14ac:dyDescent="0.25">
      <c r="A601" s="45">
        <v>136086195</v>
      </c>
      <c r="B601" s="46" t="s">
        <v>19</v>
      </c>
      <c r="C601" s="46" t="s">
        <v>18</v>
      </c>
      <c r="D601" s="46" t="s">
        <v>25</v>
      </c>
      <c r="E601" s="47">
        <v>69.959999999999994</v>
      </c>
      <c r="F601" s="48">
        <v>8</v>
      </c>
      <c r="G601" s="78">
        <f t="shared" si="9"/>
        <v>559.67999999999995</v>
      </c>
      <c r="H601" s="120">
        <v>43511</v>
      </c>
      <c r="I601" s="50">
        <v>0.7090277777777777</v>
      </c>
      <c r="J601" s="46" t="s">
        <v>15</v>
      </c>
      <c r="K601" s="51">
        <v>6.4</v>
      </c>
      <c r="L601" s="122" t="str">
        <f>IF(AND(Tabla_Ventas[[#This Row],[VENTA TOTAL]]&gt;=30,Tabla_Ventas[[#This Row],[TIPO DE CLIENTE/ Customer type]]="Member"),"PARTICIPA","NO PARTICIPA")</f>
        <v>NO PARTICIPA</v>
      </c>
    </row>
    <row r="602" spans="1:12" ht="19" x14ac:dyDescent="0.25">
      <c r="A602" s="45">
        <v>727756477</v>
      </c>
      <c r="B602" s="46" t="s">
        <v>12</v>
      </c>
      <c r="C602" s="46" t="s">
        <v>18</v>
      </c>
      <c r="D602" s="46" t="s">
        <v>21</v>
      </c>
      <c r="E602" s="47">
        <v>28.84</v>
      </c>
      <c r="F602" s="48">
        <v>4</v>
      </c>
      <c r="G602" s="78">
        <f t="shared" si="9"/>
        <v>115.36</v>
      </c>
      <c r="H602" s="120">
        <v>43553</v>
      </c>
      <c r="I602" s="50">
        <v>0.61388888888888882</v>
      </c>
      <c r="J602" s="46" t="s">
        <v>23</v>
      </c>
      <c r="K602" s="51">
        <v>6.4</v>
      </c>
      <c r="L602" s="122" t="str">
        <f>IF(AND(Tabla_Ventas[[#This Row],[VENTA TOTAL]]&gt;=30,Tabla_Ventas[[#This Row],[TIPO DE CLIENTE/ Customer type]]="Member"),"PARTICIPA","NO PARTICIPA")</f>
        <v>NO PARTICIPA</v>
      </c>
    </row>
    <row r="603" spans="1:12" ht="19" x14ac:dyDescent="0.25">
      <c r="A603" s="45">
        <v>276540879</v>
      </c>
      <c r="B603" s="46" t="s">
        <v>16</v>
      </c>
      <c r="C603" s="46" t="s">
        <v>18</v>
      </c>
      <c r="D603" s="46" t="s">
        <v>14</v>
      </c>
      <c r="E603" s="47">
        <v>97.74</v>
      </c>
      <c r="F603" s="48">
        <v>4</v>
      </c>
      <c r="G603" s="78">
        <f t="shared" si="9"/>
        <v>390.96</v>
      </c>
      <c r="H603" s="120">
        <v>43509</v>
      </c>
      <c r="I603" s="50">
        <v>0.82847222222222217</v>
      </c>
      <c r="J603" s="46" t="s">
        <v>17</v>
      </c>
      <c r="K603" s="51">
        <v>6.4</v>
      </c>
      <c r="L603" s="122" t="str">
        <f>IF(AND(Tabla_Ventas[[#This Row],[VENTA TOTAL]]&gt;=30,Tabla_Ventas[[#This Row],[TIPO DE CLIENTE/ Customer type]]="Member"),"PARTICIPA","NO PARTICIPA")</f>
        <v>NO PARTICIPA</v>
      </c>
    </row>
    <row r="604" spans="1:12" ht="19" x14ac:dyDescent="0.25">
      <c r="A604" s="45">
        <v>459507686</v>
      </c>
      <c r="B604" s="46" t="s">
        <v>19</v>
      </c>
      <c r="C604" s="46" t="s">
        <v>18</v>
      </c>
      <c r="D604" s="46" t="s">
        <v>21</v>
      </c>
      <c r="E604" s="47">
        <v>23.46</v>
      </c>
      <c r="F604" s="48">
        <v>6</v>
      </c>
      <c r="G604" s="78">
        <f t="shared" si="9"/>
        <v>140.76</v>
      </c>
      <c r="H604" s="120">
        <v>43478</v>
      </c>
      <c r="I604" s="50">
        <v>0.80138888888888893</v>
      </c>
      <c r="J604" s="46" t="s">
        <v>17</v>
      </c>
      <c r="K604" s="51">
        <v>6.4</v>
      </c>
      <c r="L604" s="122" t="str">
        <f>IF(AND(Tabla_Ventas[[#This Row],[VENTA TOTAL]]&gt;=30,Tabla_Ventas[[#This Row],[TIPO DE CLIENTE/ Customer type]]="Member"),"PARTICIPA","NO PARTICIPA")</f>
        <v>NO PARTICIPA</v>
      </c>
    </row>
    <row r="605" spans="1:12" ht="19" x14ac:dyDescent="0.25">
      <c r="A605" s="45">
        <v>320328842</v>
      </c>
      <c r="B605" s="46" t="s">
        <v>12</v>
      </c>
      <c r="C605" s="46" t="s">
        <v>13</v>
      </c>
      <c r="D605" s="46" t="s">
        <v>24</v>
      </c>
      <c r="E605" s="47">
        <v>22.62</v>
      </c>
      <c r="F605" s="48">
        <v>1</v>
      </c>
      <c r="G605" s="78">
        <f t="shared" si="9"/>
        <v>22.62</v>
      </c>
      <c r="H605" s="120">
        <v>43541</v>
      </c>
      <c r="I605" s="50">
        <v>0.79027777777777775</v>
      </c>
      <c r="J605" s="46" t="s">
        <v>23</v>
      </c>
      <c r="K605" s="51">
        <v>6.4</v>
      </c>
      <c r="L605" s="122" t="str">
        <f>IF(AND(Tabla_Ventas[[#This Row],[VENTA TOTAL]]&gt;=30,Tabla_Ventas[[#This Row],[TIPO DE CLIENTE/ Customer type]]="Member"),"PARTICIPA","NO PARTICIPA")</f>
        <v>NO PARTICIPA</v>
      </c>
    </row>
    <row r="606" spans="1:12" ht="19" x14ac:dyDescent="0.25">
      <c r="A606" s="45">
        <v>219614139</v>
      </c>
      <c r="B606" s="46" t="s">
        <v>16</v>
      </c>
      <c r="C606" s="46" t="s">
        <v>18</v>
      </c>
      <c r="D606" s="46" t="s">
        <v>21</v>
      </c>
      <c r="E606" s="49">
        <v>83.08</v>
      </c>
      <c r="F606" s="48">
        <v>1</v>
      </c>
      <c r="G606" s="78">
        <f t="shared" si="9"/>
        <v>83.08</v>
      </c>
      <c r="H606" s="120">
        <v>43488</v>
      </c>
      <c r="I606" s="50">
        <v>0.71944444444444444</v>
      </c>
      <c r="J606" s="46" t="s">
        <v>17</v>
      </c>
      <c r="K606" s="51">
        <v>6.4</v>
      </c>
      <c r="L606" s="122" t="str">
        <f>IF(AND(Tabla_Ventas[[#This Row],[VENTA TOTAL]]&gt;=30,Tabla_Ventas[[#This Row],[TIPO DE CLIENTE/ Customer type]]="Member"),"PARTICIPA","NO PARTICIPA")</f>
        <v>NO PARTICIPA</v>
      </c>
    </row>
    <row r="607" spans="1:12" ht="19" x14ac:dyDescent="0.25">
      <c r="A607" s="45">
        <v>544325024</v>
      </c>
      <c r="B607" s="46" t="s">
        <v>16</v>
      </c>
      <c r="C607" s="46" t="s">
        <v>13</v>
      </c>
      <c r="D607" s="46" t="s">
        <v>24</v>
      </c>
      <c r="E607" s="49">
        <v>49.79</v>
      </c>
      <c r="F607" s="48">
        <v>4</v>
      </c>
      <c r="G607" s="78">
        <f t="shared" si="9"/>
        <v>199.16</v>
      </c>
      <c r="H607" s="120">
        <v>43552</v>
      </c>
      <c r="I607" s="50">
        <v>0.8027777777777777</v>
      </c>
      <c r="J607" s="46" t="s">
        <v>15</v>
      </c>
      <c r="K607" s="51">
        <v>6.4</v>
      </c>
      <c r="L607" s="122" t="str">
        <f>IF(AND(Tabla_Ventas[[#This Row],[VENTA TOTAL]]&gt;=30,Tabla_Ventas[[#This Row],[TIPO DE CLIENTE/ Customer type]]="Member"),"PARTICIPA","NO PARTICIPA")</f>
        <v>PARTICIPA</v>
      </c>
    </row>
    <row r="608" spans="1:12" ht="19" x14ac:dyDescent="0.25">
      <c r="A608" s="45">
        <v>695095146</v>
      </c>
      <c r="B608" s="46" t="s">
        <v>12</v>
      </c>
      <c r="C608" s="46" t="s">
        <v>13</v>
      </c>
      <c r="D608" s="46" t="s">
        <v>24</v>
      </c>
      <c r="E608" s="49">
        <v>98.79</v>
      </c>
      <c r="F608" s="48">
        <v>3</v>
      </c>
      <c r="G608" s="78">
        <f t="shared" si="9"/>
        <v>296.37</v>
      </c>
      <c r="H608" s="120">
        <v>43519</v>
      </c>
      <c r="I608" s="50">
        <v>0.83333333333333337</v>
      </c>
      <c r="J608" s="46" t="s">
        <v>17</v>
      </c>
      <c r="K608" s="51">
        <v>6.4</v>
      </c>
      <c r="L608" s="122" t="str">
        <f>IF(AND(Tabla_Ventas[[#This Row],[VENTA TOTAL]]&gt;=30,Tabla_Ventas[[#This Row],[TIPO DE CLIENTE/ Customer type]]="Member"),"PARTICIPA","NO PARTICIPA")</f>
        <v>PARTICIPA</v>
      </c>
    </row>
    <row r="609" spans="1:12" ht="19" x14ac:dyDescent="0.25">
      <c r="A609" s="45">
        <v>190143147</v>
      </c>
      <c r="B609" s="46" t="s">
        <v>12</v>
      </c>
      <c r="C609" s="46" t="s">
        <v>18</v>
      </c>
      <c r="D609" s="46" t="s">
        <v>20</v>
      </c>
      <c r="E609" s="49">
        <v>17.97</v>
      </c>
      <c r="F609" s="48">
        <v>4</v>
      </c>
      <c r="G609" s="78">
        <f t="shared" si="9"/>
        <v>71.88</v>
      </c>
      <c r="H609" s="120">
        <v>43519</v>
      </c>
      <c r="I609" s="50">
        <v>0.86319444444444438</v>
      </c>
      <c r="J609" s="46" t="s">
        <v>17</v>
      </c>
      <c r="K609" s="51">
        <v>6.4</v>
      </c>
      <c r="L609" s="122" t="str">
        <f>IF(AND(Tabla_Ventas[[#This Row],[VENTA TOTAL]]&gt;=30,Tabla_Ventas[[#This Row],[TIPO DE CLIENTE/ Customer type]]="Member"),"PARTICIPA","NO PARTICIPA")</f>
        <v>NO PARTICIPA</v>
      </c>
    </row>
    <row r="610" spans="1:12" ht="19" x14ac:dyDescent="0.25">
      <c r="A610" s="45">
        <v>241965076</v>
      </c>
      <c r="B610" s="46" t="s">
        <v>12</v>
      </c>
      <c r="C610" s="46" t="s">
        <v>13</v>
      </c>
      <c r="D610" s="46" t="s">
        <v>25</v>
      </c>
      <c r="E610" s="49">
        <v>49.1</v>
      </c>
      <c r="F610" s="48">
        <v>2</v>
      </c>
      <c r="G610" s="78">
        <f t="shared" si="9"/>
        <v>98.2</v>
      </c>
      <c r="H610" s="120">
        <v>43473</v>
      </c>
      <c r="I610" s="50">
        <v>0.54027777777777775</v>
      </c>
      <c r="J610" s="46" t="s">
        <v>15</v>
      </c>
      <c r="K610" s="51">
        <v>6.4</v>
      </c>
      <c r="L610" s="122" t="str">
        <f>IF(AND(Tabla_Ventas[[#This Row],[VENTA TOTAL]]&gt;=30,Tabla_Ventas[[#This Row],[TIPO DE CLIENTE/ Customer type]]="Member"),"PARTICIPA","NO PARTICIPA")</f>
        <v>PARTICIPA</v>
      </c>
    </row>
    <row r="611" spans="1:12" ht="19" x14ac:dyDescent="0.25">
      <c r="A611" s="45">
        <v>238456950</v>
      </c>
      <c r="B611" s="46" t="s">
        <v>12</v>
      </c>
      <c r="C611" s="46" t="s">
        <v>13</v>
      </c>
      <c r="D611" s="46" t="s">
        <v>24</v>
      </c>
      <c r="E611" s="49">
        <v>53.72</v>
      </c>
      <c r="F611" s="48">
        <v>1</v>
      </c>
      <c r="G611" s="78">
        <f t="shared" si="9"/>
        <v>53.72</v>
      </c>
      <c r="H611" s="120">
        <v>43468</v>
      </c>
      <c r="I611" s="50">
        <v>0.8354166666666667</v>
      </c>
      <c r="J611" s="46" t="s">
        <v>17</v>
      </c>
      <c r="K611" s="51">
        <v>6.4</v>
      </c>
      <c r="L611" s="122" t="str">
        <f>IF(AND(Tabla_Ventas[[#This Row],[VENTA TOTAL]]&gt;=30,Tabla_Ventas[[#This Row],[TIPO DE CLIENTE/ Customer type]]="Member"),"PARTICIPA","NO PARTICIPA")</f>
        <v>PARTICIPA</v>
      </c>
    </row>
    <row r="612" spans="1:12" ht="19" x14ac:dyDescent="0.25">
      <c r="A612" s="45">
        <v>794423736</v>
      </c>
      <c r="B612" s="46" t="s">
        <v>12</v>
      </c>
      <c r="C612" s="46" t="s">
        <v>18</v>
      </c>
      <c r="D612" s="46" t="s">
        <v>24</v>
      </c>
      <c r="E612" s="49">
        <v>33.33</v>
      </c>
      <c r="F612" s="48">
        <v>2</v>
      </c>
      <c r="G612" s="78">
        <f t="shared" si="9"/>
        <v>66.66</v>
      </c>
      <c r="H612" s="120">
        <v>43491</v>
      </c>
      <c r="I612" s="50">
        <v>0.6118055555555556</v>
      </c>
      <c r="J612" s="46" t="s">
        <v>15</v>
      </c>
      <c r="K612" s="51">
        <v>6.4</v>
      </c>
      <c r="L612" s="122" t="str">
        <f>IF(AND(Tabla_Ventas[[#This Row],[VENTA TOTAL]]&gt;=30,Tabla_Ventas[[#This Row],[TIPO DE CLIENTE/ Customer type]]="Member"),"PARTICIPA","NO PARTICIPA")</f>
        <v>NO PARTICIPA</v>
      </c>
    </row>
    <row r="613" spans="1:12" ht="19" x14ac:dyDescent="0.25">
      <c r="A613" s="45">
        <v>554538700</v>
      </c>
      <c r="B613" s="46" t="s">
        <v>12</v>
      </c>
      <c r="C613" s="46" t="s">
        <v>13</v>
      </c>
      <c r="D613" s="46" t="s">
        <v>25</v>
      </c>
      <c r="E613" s="47">
        <v>56.11</v>
      </c>
      <c r="F613" s="48">
        <v>2</v>
      </c>
      <c r="G613" s="78">
        <f t="shared" si="9"/>
        <v>112.22</v>
      </c>
      <c r="H613" s="120">
        <v>43498</v>
      </c>
      <c r="I613" s="50">
        <v>0.42430555555555555</v>
      </c>
      <c r="J613" s="46" t="s">
        <v>23</v>
      </c>
      <c r="K613" s="51">
        <v>6.3</v>
      </c>
      <c r="L613" s="122" t="str">
        <f>IF(AND(Tabla_Ventas[[#This Row],[VENTA TOTAL]]&gt;=30,Tabla_Ventas[[#This Row],[TIPO DE CLIENTE/ Customer type]]="Member"),"PARTICIPA","NO PARTICIPA")</f>
        <v>PARTICIPA</v>
      </c>
    </row>
    <row r="614" spans="1:12" ht="19" x14ac:dyDescent="0.25">
      <c r="A614" s="45">
        <v>733334967</v>
      </c>
      <c r="B614" s="46" t="s">
        <v>12</v>
      </c>
      <c r="C614" s="46" t="s">
        <v>18</v>
      </c>
      <c r="D614" s="46" t="s">
        <v>21</v>
      </c>
      <c r="E614" s="47">
        <v>20.85</v>
      </c>
      <c r="F614" s="48">
        <v>8</v>
      </c>
      <c r="G614" s="78">
        <f t="shared" si="9"/>
        <v>166.8</v>
      </c>
      <c r="H614" s="120">
        <v>43527</v>
      </c>
      <c r="I614" s="50">
        <v>0.80347222222222225</v>
      </c>
      <c r="J614" s="46" t="s">
        <v>23</v>
      </c>
      <c r="K614" s="51">
        <v>6.3</v>
      </c>
      <c r="L614" s="122" t="str">
        <f>IF(AND(Tabla_Ventas[[#This Row],[VENTA TOTAL]]&gt;=30,Tabla_Ventas[[#This Row],[TIPO DE CLIENTE/ Customer type]]="Member"),"PARTICIPA","NO PARTICIPA")</f>
        <v>NO PARTICIPA</v>
      </c>
    </row>
    <row r="615" spans="1:12" ht="19" x14ac:dyDescent="0.25">
      <c r="A615" s="45">
        <v>783091637</v>
      </c>
      <c r="B615" s="46" t="s">
        <v>16</v>
      </c>
      <c r="C615" s="46" t="s">
        <v>18</v>
      </c>
      <c r="D615" s="46" t="s">
        <v>14</v>
      </c>
      <c r="E615" s="47">
        <v>67.430000000000007</v>
      </c>
      <c r="F615" s="48">
        <v>5</v>
      </c>
      <c r="G615" s="78">
        <f t="shared" si="9"/>
        <v>337.15000000000003</v>
      </c>
      <c r="H615" s="120">
        <v>43530</v>
      </c>
      <c r="I615" s="50">
        <v>0.75902777777777775</v>
      </c>
      <c r="J615" s="46" t="s">
        <v>17</v>
      </c>
      <c r="K615" s="51">
        <v>6.3</v>
      </c>
      <c r="L615" s="122" t="str">
        <f>IF(AND(Tabla_Ventas[[#This Row],[VENTA TOTAL]]&gt;=30,Tabla_Ventas[[#This Row],[TIPO DE CLIENTE/ Customer type]]="Member"),"PARTICIPA","NO PARTICIPA")</f>
        <v>NO PARTICIPA</v>
      </c>
    </row>
    <row r="616" spans="1:12" ht="19" x14ac:dyDescent="0.25">
      <c r="A616" s="45">
        <v>502051910</v>
      </c>
      <c r="B616" s="46" t="s">
        <v>19</v>
      </c>
      <c r="C616" s="46" t="s">
        <v>18</v>
      </c>
      <c r="D616" s="46" t="s">
        <v>20</v>
      </c>
      <c r="E616" s="47">
        <v>65.180000000000007</v>
      </c>
      <c r="F616" s="48">
        <v>3</v>
      </c>
      <c r="G616" s="78">
        <f t="shared" si="9"/>
        <v>195.54000000000002</v>
      </c>
      <c r="H616" s="120">
        <v>43521</v>
      </c>
      <c r="I616" s="50">
        <v>0.85763888888888884</v>
      </c>
      <c r="J616" s="46" t="s">
        <v>15</v>
      </c>
      <c r="K616" s="51">
        <v>6.3</v>
      </c>
      <c r="L616" s="122" t="str">
        <f>IF(AND(Tabla_Ventas[[#This Row],[VENTA TOTAL]]&gt;=30,Tabla_Ventas[[#This Row],[TIPO DE CLIENTE/ Customer type]]="Member"),"PARTICIPA","NO PARTICIPA")</f>
        <v>NO PARTICIPA</v>
      </c>
    </row>
    <row r="617" spans="1:12" ht="19" x14ac:dyDescent="0.25">
      <c r="A617" s="45">
        <v>282352475</v>
      </c>
      <c r="B617" s="46" t="s">
        <v>16</v>
      </c>
      <c r="C617" s="46" t="s">
        <v>18</v>
      </c>
      <c r="D617" s="46" t="s">
        <v>14</v>
      </c>
      <c r="E617" s="47">
        <v>93.31</v>
      </c>
      <c r="F617" s="48">
        <v>2</v>
      </c>
      <c r="G617" s="78">
        <f t="shared" si="9"/>
        <v>186.62</v>
      </c>
      <c r="H617" s="120">
        <v>43549</v>
      </c>
      <c r="I617" s="50">
        <v>0.74513888888888891</v>
      </c>
      <c r="J617" s="46" t="s">
        <v>23</v>
      </c>
      <c r="K617" s="51">
        <v>6.3</v>
      </c>
      <c r="L617" s="122" t="str">
        <f>IF(AND(Tabla_Ventas[[#This Row],[VENTA TOTAL]]&gt;=30,Tabla_Ventas[[#This Row],[TIPO DE CLIENTE/ Customer type]]="Member"),"PARTICIPA","NO PARTICIPA")</f>
        <v>NO PARTICIPA</v>
      </c>
    </row>
    <row r="618" spans="1:12" ht="19" x14ac:dyDescent="0.25">
      <c r="A618" s="45">
        <v>698985964</v>
      </c>
      <c r="B618" s="46" t="s">
        <v>19</v>
      </c>
      <c r="C618" s="46" t="s">
        <v>18</v>
      </c>
      <c r="D618" s="46" t="s">
        <v>24</v>
      </c>
      <c r="E618" s="47">
        <v>81.209999999999994</v>
      </c>
      <c r="F618" s="48">
        <v>10</v>
      </c>
      <c r="G618" s="78">
        <f t="shared" si="9"/>
        <v>812.09999999999991</v>
      </c>
      <c r="H618" s="120">
        <v>43482</v>
      </c>
      <c r="I618" s="50">
        <v>0.54236111111111118</v>
      </c>
      <c r="J618" s="46" t="s">
        <v>15</v>
      </c>
      <c r="K618" s="51">
        <v>6.3</v>
      </c>
      <c r="L618" s="122" t="str">
        <f>IF(AND(Tabla_Ventas[[#This Row],[VENTA TOTAL]]&gt;=30,Tabla_Ventas[[#This Row],[TIPO DE CLIENTE/ Customer type]]="Member"),"PARTICIPA","NO PARTICIPA")</f>
        <v>NO PARTICIPA</v>
      </c>
    </row>
    <row r="619" spans="1:12" ht="19" x14ac:dyDescent="0.25">
      <c r="A619" s="45">
        <v>339968318</v>
      </c>
      <c r="B619" s="46" t="s">
        <v>16</v>
      </c>
      <c r="C619" s="46" t="s">
        <v>13</v>
      </c>
      <c r="D619" s="46" t="s">
        <v>22</v>
      </c>
      <c r="E619" s="47">
        <v>81.31</v>
      </c>
      <c r="F619" s="48">
        <v>7</v>
      </c>
      <c r="G619" s="78">
        <f t="shared" si="9"/>
        <v>569.17000000000007</v>
      </c>
      <c r="H619" s="120">
        <v>43468</v>
      </c>
      <c r="I619" s="50">
        <v>0.8256944444444444</v>
      </c>
      <c r="J619" s="46" t="s">
        <v>17</v>
      </c>
      <c r="K619" s="51">
        <v>6.3</v>
      </c>
      <c r="L619" s="122" t="str">
        <f>IF(AND(Tabla_Ventas[[#This Row],[VENTA TOTAL]]&gt;=30,Tabla_Ventas[[#This Row],[TIPO DE CLIENTE/ Customer type]]="Member"),"PARTICIPA","NO PARTICIPA")</f>
        <v>PARTICIPA</v>
      </c>
    </row>
    <row r="620" spans="1:12" ht="19" x14ac:dyDescent="0.25">
      <c r="A620" s="45">
        <v>318812368</v>
      </c>
      <c r="B620" s="46" t="s">
        <v>16</v>
      </c>
      <c r="C620" s="46" t="s">
        <v>18</v>
      </c>
      <c r="D620" s="46" t="s">
        <v>21</v>
      </c>
      <c r="E620" s="49">
        <v>46.2</v>
      </c>
      <c r="F620" s="48">
        <v>1</v>
      </c>
      <c r="G620" s="78">
        <f t="shared" si="9"/>
        <v>46.2</v>
      </c>
      <c r="H620" s="120">
        <v>43543</v>
      </c>
      <c r="I620" s="50">
        <v>0.51111111111111118</v>
      </c>
      <c r="J620" s="46" t="s">
        <v>23</v>
      </c>
      <c r="K620" s="51">
        <v>6.3</v>
      </c>
      <c r="L620" s="122" t="str">
        <f>IF(AND(Tabla_Ventas[[#This Row],[VENTA TOTAL]]&gt;=30,Tabla_Ventas[[#This Row],[TIPO DE CLIENTE/ Customer type]]="Member"),"PARTICIPA","NO PARTICIPA")</f>
        <v>NO PARTICIPA</v>
      </c>
    </row>
    <row r="621" spans="1:12" ht="19" x14ac:dyDescent="0.25">
      <c r="A621" s="45">
        <v>859710933</v>
      </c>
      <c r="B621" s="46" t="s">
        <v>16</v>
      </c>
      <c r="C621" s="46" t="s">
        <v>13</v>
      </c>
      <c r="D621" s="46" t="s">
        <v>14</v>
      </c>
      <c r="E621" s="49">
        <v>15.49</v>
      </c>
      <c r="F621" s="48">
        <v>2</v>
      </c>
      <c r="G621" s="78">
        <f t="shared" si="9"/>
        <v>30.98</v>
      </c>
      <c r="H621" s="120">
        <v>43481</v>
      </c>
      <c r="I621" s="50">
        <v>0.63194444444444442</v>
      </c>
      <c r="J621" s="46" t="s">
        <v>23</v>
      </c>
      <c r="K621" s="51">
        <v>6.3</v>
      </c>
      <c r="L621" s="122" t="str">
        <f>IF(AND(Tabla_Ventas[[#This Row],[VENTA TOTAL]]&gt;=30,Tabla_Ventas[[#This Row],[TIPO DE CLIENTE/ Customer type]]="Member"),"PARTICIPA","NO PARTICIPA")</f>
        <v>PARTICIPA</v>
      </c>
    </row>
    <row r="622" spans="1:12" ht="19" x14ac:dyDescent="0.25">
      <c r="A622" s="45">
        <v>640485028</v>
      </c>
      <c r="B622" s="46" t="s">
        <v>12</v>
      </c>
      <c r="C622" s="46" t="s">
        <v>13</v>
      </c>
      <c r="D622" s="46" t="s">
        <v>25</v>
      </c>
      <c r="E622" s="49">
        <v>88.39</v>
      </c>
      <c r="F622" s="48">
        <v>9</v>
      </c>
      <c r="G622" s="78">
        <f t="shared" si="9"/>
        <v>795.51</v>
      </c>
      <c r="H622" s="120">
        <v>43499</v>
      </c>
      <c r="I622" s="50">
        <v>0.52777777777777779</v>
      </c>
      <c r="J622" s="46" t="s">
        <v>23</v>
      </c>
      <c r="K622" s="51">
        <v>6.3</v>
      </c>
      <c r="L622" s="122" t="str">
        <f>IF(AND(Tabla_Ventas[[#This Row],[VENTA TOTAL]]&gt;=30,Tabla_Ventas[[#This Row],[TIPO DE CLIENTE/ Customer type]]="Member"),"PARTICIPA","NO PARTICIPA")</f>
        <v>PARTICIPA</v>
      </c>
    </row>
    <row r="623" spans="1:12" ht="19" x14ac:dyDescent="0.25">
      <c r="A623" s="45">
        <v>388762555</v>
      </c>
      <c r="B623" s="46" t="s">
        <v>12</v>
      </c>
      <c r="C623" s="46" t="s">
        <v>18</v>
      </c>
      <c r="D623" s="46" t="s">
        <v>14</v>
      </c>
      <c r="E623" s="49">
        <v>13.69</v>
      </c>
      <c r="F623" s="48">
        <v>6</v>
      </c>
      <c r="G623" s="78">
        <f t="shared" si="9"/>
        <v>82.14</v>
      </c>
      <c r="H623" s="120">
        <v>43509</v>
      </c>
      <c r="I623" s="50">
        <v>0.58263888888888882</v>
      </c>
      <c r="J623" s="46" t="s">
        <v>23</v>
      </c>
      <c r="K623" s="51">
        <v>6.3</v>
      </c>
      <c r="L623" s="122" t="str">
        <f>IF(AND(Tabla_Ventas[[#This Row],[VENTA TOTAL]]&gt;=30,Tabla_Ventas[[#This Row],[TIPO DE CLIENTE/ Customer type]]="Member"),"PARTICIPA","NO PARTICIPA")</f>
        <v>NO PARTICIPA</v>
      </c>
    </row>
    <row r="624" spans="1:12" ht="19" x14ac:dyDescent="0.25">
      <c r="A624" s="45">
        <v>471068611</v>
      </c>
      <c r="B624" s="46" t="s">
        <v>16</v>
      </c>
      <c r="C624" s="46" t="s">
        <v>18</v>
      </c>
      <c r="D624" s="46" t="s">
        <v>24</v>
      </c>
      <c r="E624" s="49">
        <v>52.42</v>
      </c>
      <c r="F624" s="48">
        <v>1</v>
      </c>
      <c r="G624" s="78">
        <f t="shared" si="9"/>
        <v>52.42</v>
      </c>
      <c r="H624" s="120">
        <v>43502</v>
      </c>
      <c r="I624" s="50">
        <v>0.43194444444444446</v>
      </c>
      <c r="J624" s="46" t="s">
        <v>15</v>
      </c>
      <c r="K624" s="51">
        <v>6.3</v>
      </c>
      <c r="L624" s="122" t="str">
        <f>IF(AND(Tabla_Ventas[[#This Row],[VENTA TOTAL]]&gt;=30,Tabla_Ventas[[#This Row],[TIPO DE CLIENTE/ Customer type]]="Member"),"PARTICIPA","NO PARTICIPA")</f>
        <v>NO PARTICIPA</v>
      </c>
    </row>
    <row r="625" spans="1:12" ht="19" x14ac:dyDescent="0.25">
      <c r="A625" s="45">
        <v>770428960</v>
      </c>
      <c r="B625" s="46" t="s">
        <v>12</v>
      </c>
      <c r="C625" s="46" t="s">
        <v>18</v>
      </c>
      <c r="D625" s="46" t="s">
        <v>24</v>
      </c>
      <c r="E625" s="49">
        <v>21.12</v>
      </c>
      <c r="F625" s="48">
        <v>8</v>
      </c>
      <c r="G625" s="78">
        <f t="shared" si="9"/>
        <v>168.96</v>
      </c>
      <c r="H625" s="120">
        <v>43466</v>
      </c>
      <c r="I625" s="50">
        <v>0.81319444444444444</v>
      </c>
      <c r="J625" s="46" t="s">
        <v>23</v>
      </c>
      <c r="K625" s="51">
        <v>6.3</v>
      </c>
      <c r="L625" s="122" t="str">
        <f>IF(AND(Tabla_Ventas[[#This Row],[VENTA TOTAL]]&gt;=30,Tabla_Ventas[[#This Row],[TIPO DE CLIENTE/ Customer type]]="Member"),"PARTICIPA","NO PARTICIPA")</f>
        <v>NO PARTICIPA</v>
      </c>
    </row>
    <row r="626" spans="1:12" ht="19" x14ac:dyDescent="0.25">
      <c r="A626" s="45">
        <v>154877367</v>
      </c>
      <c r="B626" s="46" t="s">
        <v>16</v>
      </c>
      <c r="C626" s="46" t="s">
        <v>18</v>
      </c>
      <c r="D626" s="46" t="s">
        <v>25</v>
      </c>
      <c r="E626" s="49">
        <v>65.260000000000005</v>
      </c>
      <c r="F626" s="48">
        <v>8</v>
      </c>
      <c r="G626" s="78">
        <f t="shared" si="9"/>
        <v>522.08000000000004</v>
      </c>
      <c r="H626" s="120">
        <v>43539</v>
      </c>
      <c r="I626" s="50">
        <v>0.58611111111111114</v>
      </c>
      <c r="J626" s="46" t="s">
        <v>17</v>
      </c>
      <c r="K626" s="51">
        <v>6.3</v>
      </c>
      <c r="L626" s="122" t="str">
        <f>IF(AND(Tabla_Ventas[[#This Row],[VENTA TOTAL]]&gt;=30,Tabla_Ventas[[#This Row],[TIPO DE CLIENTE/ Customer type]]="Member"),"PARTICIPA","NO PARTICIPA")</f>
        <v>NO PARTICIPA</v>
      </c>
    </row>
    <row r="627" spans="1:12" ht="19" x14ac:dyDescent="0.25">
      <c r="A627" s="45">
        <v>636983364</v>
      </c>
      <c r="B627" s="46" t="s">
        <v>12</v>
      </c>
      <c r="C627" s="46" t="s">
        <v>13</v>
      </c>
      <c r="D627" s="46" t="s">
        <v>21</v>
      </c>
      <c r="E627" s="49">
        <v>26.26</v>
      </c>
      <c r="F627" s="48">
        <v>3</v>
      </c>
      <c r="G627" s="78">
        <f t="shared" si="9"/>
        <v>78.78</v>
      </c>
      <c r="H627" s="120">
        <v>43499</v>
      </c>
      <c r="I627" s="50">
        <v>0.52500000000000002</v>
      </c>
      <c r="J627" s="46" t="s">
        <v>17</v>
      </c>
      <c r="K627" s="51">
        <v>6.3</v>
      </c>
      <c r="L627" s="122" t="str">
        <f>IF(AND(Tabla_Ventas[[#This Row],[VENTA TOTAL]]&gt;=30,Tabla_Ventas[[#This Row],[TIPO DE CLIENTE/ Customer type]]="Member"),"PARTICIPA","NO PARTICIPA")</f>
        <v>PARTICIPA</v>
      </c>
    </row>
    <row r="628" spans="1:12" ht="19" x14ac:dyDescent="0.25">
      <c r="A628" s="45">
        <v>597787908</v>
      </c>
      <c r="B628" s="46" t="s">
        <v>12</v>
      </c>
      <c r="C628" s="46" t="s">
        <v>18</v>
      </c>
      <c r="D628" s="46" t="s">
        <v>22</v>
      </c>
      <c r="E628" s="47">
        <v>90.22</v>
      </c>
      <c r="F628" s="48">
        <v>3</v>
      </c>
      <c r="G628" s="78">
        <f t="shared" si="9"/>
        <v>270.65999999999997</v>
      </c>
      <c r="H628" s="120">
        <v>43514</v>
      </c>
      <c r="I628" s="50">
        <v>0.81874999999999998</v>
      </c>
      <c r="J628" s="46" t="s">
        <v>23</v>
      </c>
      <c r="K628" s="51">
        <v>6.2</v>
      </c>
      <c r="L628" s="122" t="str">
        <f>IF(AND(Tabla_Ventas[[#This Row],[VENTA TOTAL]]&gt;=30,Tabla_Ventas[[#This Row],[TIPO DE CLIENTE/ Customer type]]="Member"),"PARTICIPA","NO PARTICIPA")</f>
        <v>NO PARTICIPA</v>
      </c>
    </row>
    <row r="629" spans="1:12" ht="19" x14ac:dyDescent="0.25">
      <c r="A629" s="45">
        <v>262472794</v>
      </c>
      <c r="B629" s="46" t="s">
        <v>16</v>
      </c>
      <c r="C629" s="46" t="s">
        <v>13</v>
      </c>
      <c r="D629" s="46" t="s">
        <v>25</v>
      </c>
      <c r="E629" s="47">
        <v>71.86</v>
      </c>
      <c r="F629" s="48">
        <v>8</v>
      </c>
      <c r="G629" s="78">
        <f t="shared" si="9"/>
        <v>574.88</v>
      </c>
      <c r="H629" s="120">
        <v>43530</v>
      </c>
      <c r="I629" s="50">
        <v>0.62986111111111109</v>
      </c>
      <c r="J629" s="46" t="s">
        <v>15</v>
      </c>
      <c r="K629" s="51">
        <v>6.2</v>
      </c>
      <c r="L629" s="122" t="str">
        <f>IF(AND(Tabla_Ventas[[#This Row],[VENTA TOTAL]]&gt;=30,Tabla_Ventas[[#This Row],[TIPO DE CLIENTE/ Customer type]]="Member"),"PARTICIPA","NO PARTICIPA")</f>
        <v>PARTICIPA</v>
      </c>
    </row>
    <row r="630" spans="1:12" ht="19" x14ac:dyDescent="0.25">
      <c r="A630" s="45">
        <v>213726612</v>
      </c>
      <c r="B630" s="46" t="s">
        <v>19</v>
      </c>
      <c r="C630" s="46" t="s">
        <v>18</v>
      </c>
      <c r="D630" s="46" t="s">
        <v>24</v>
      </c>
      <c r="E630" s="47">
        <v>43.25</v>
      </c>
      <c r="F630" s="48">
        <v>2</v>
      </c>
      <c r="G630" s="78">
        <f t="shared" si="9"/>
        <v>86.5</v>
      </c>
      <c r="H630" s="120">
        <v>43544</v>
      </c>
      <c r="I630" s="50">
        <v>0.66388888888888886</v>
      </c>
      <c r="J630" s="46" t="s">
        <v>23</v>
      </c>
      <c r="K630" s="51">
        <v>6.2</v>
      </c>
      <c r="L630" s="122" t="str">
        <f>IF(AND(Tabla_Ventas[[#This Row],[VENTA TOTAL]]&gt;=30,Tabla_Ventas[[#This Row],[TIPO DE CLIENTE/ Customer type]]="Member"),"PARTICIPA","NO PARTICIPA")</f>
        <v>NO PARTICIPA</v>
      </c>
    </row>
    <row r="631" spans="1:12" ht="19" x14ac:dyDescent="0.25">
      <c r="A631" s="45">
        <v>850419669</v>
      </c>
      <c r="B631" s="46" t="s">
        <v>19</v>
      </c>
      <c r="C631" s="46" t="s">
        <v>18</v>
      </c>
      <c r="D631" s="46" t="s">
        <v>21</v>
      </c>
      <c r="E631" s="47">
        <v>75.06</v>
      </c>
      <c r="F631" s="48">
        <v>9</v>
      </c>
      <c r="G631" s="78">
        <f t="shared" si="9"/>
        <v>675.54</v>
      </c>
      <c r="H631" s="120">
        <v>43543</v>
      </c>
      <c r="I631" s="50">
        <v>0.55902777777777779</v>
      </c>
      <c r="J631" s="46" t="s">
        <v>17</v>
      </c>
      <c r="K631" s="51">
        <v>6.2</v>
      </c>
      <c r="L631" s="122" t="str">
        <f>IF(AND(Tabla_Ventas[[#This Row],[VENTA TOTAL]]&gt;=30,Tabla_Ventas[[#This Row],[TIPO DE CLIENTE/ Customer type]]="Member"),"PARTICIPA","NO PARTICIPA")</f>
        <v>NO PARTICIPA</v>
      </c>
    </row>
    <row r="632" spans="1:12" ht="19" x14ac:dyDescent="0.25">
      <c r="A632" s="45">
        <v>566195475</v>
      </c>
      <c r="B632" s="46" t="s">
        <v>16</v>
      </c>
      <c r="C632" s="46" t="s">
        <v>18</v>
      </c>
      <c r="D632" s="46" t="s">
        <v>22</v>
      </c>
      <c r="E632" s="47">
        <v>47.97</v>
      </c>
      <c r="F632" s="48">
        <v>7</v>
      </c>
      <c r="G632" s="78">
        <f t="shared" si="9"/>
        <v>335.78999999999996</v>
      </c>
      <c r="H632" s="120">
        <v>43472</v>
      </c>
      <c r="I632" s="50">
        <v>0.86944444444444446</v>
      </c>
      <c r="J632" s="46" t="s">
        <v>23</v>
      </c>
      <c r="K632" s="51">
        <v>6.2</v>
      </c>
      <c r="L632" s="122" t="str">
        <f>IF(AND(Tabla_Ventas[[#This Row],[VENTA TOTAL]]&gt;=30,Tabla_Ventas[[#This Row],[TIPO DE CLIENTE/ Customer type]]="Member"),"PARTICIPA","NO PARTICIPA")</f>
        <v>NO PARTICIPA</v>
      </c>
    </row>
    <row r="633" spans="1:12" ht="19" x14ac:dyDescent="0.25">
      <c r="A633" s="45">
        <v>150898043</v>
      </c>
      <c r="B633" s="46" t="s">
        <v>19</v>
      </c>
      <c r="C633" s="46" t="s">
        <v>18</v>
      </c>
      <c r="D633" s="46" t="s">
        <v>14</v>
      </c>
      <c r="E633" s="47">
        <v>44.65</v>
      </c>
      <c r="F633" s="48">
        <v>3</v>
      </c>
      <c r="G633" s="78">
        <f t="shared" si="9"/>
        <v>133.94999999999999</v>
      </c>
      <c r="H633" s="120">
        <v>43510</v>
      </c>
      <c r="I633" s="50">
        <v>0.62777777777777777</v>
      </c>
      <c r="J633" s="46" t="s">
        <v>23</v>
      </c>
      <c r="K633" s="51">
        <v>6.2</v>
      </c>
      <c r="L633" s="122" t="str">
        <f>IF(AND(Tabla_Ventas[[#This Row],[VENTA TOTAL]]&gt;=30,Tabla_Ventas[[#This Row],[TIPO DE CLIENTE/ Customer type]]="Member"),"PARTICIPA","NO PARTICIPA")</f>
        <v>NO PARTICIPA</v>
      </c>
    </row>
    <row r="634" spans="1:12" ht="19" x14ac:dyDescent="0.25">
      <c r="A634" s="45">
        <v>308474913</v>
      </c>
      <c r="B634" s="46" t="s">
        <v>19</v>
      </c>
      <c r="C634" s="46" t="s">
        <v>13</v>
      </c>
      <c r="D634" s="46" t="s">
        <v>14</v>
      </c>
      <c r="E634" s="47">
        <v>52.26</v>
      </c>
      <c r="F634" s="48">
        <v>10</v>
      </c>
      <c r="G634" s="78">
        <f t="shared" si="9"/>
        <v>522.6</v>
      </c>
      <c r="H634" s="120">
        <v>43533</v>
      </c>
      <c r="I634" s="50">
        <v>0.53125</v>
      </c>
      <c r="J634" s="46" t="s">
        <v>15</v>
      </c>
      <c r="K634" s="51">
        <v>6.2</v>
      </c>
      <c r="L634" s="122" t="str">
        <f>IF(AND(Tabla_Ventas[[#This Row],[VENTA TOTAL]]&gt;=30,Tabla_Ventas[[#This Row],[TIPO DE CLIENTE/ Customer type]]="Member"),"PARTICIPA","NO PARTICIPA")</f>
        <v>PARTICIPA</v>
      </c>
    </row>
    <row r="635" spans="1:12" ht="19" x14ac:dyDescent="0.25">
      <c r="A635" s="45">
        <v>651610874</v>
      </c>
      <c r="B635" s="46" t="s">
        <v>12</v>
      </c>
      <c r="C635" s="46" t="s">
        <v>18</v>
      </c>
      <c r="D635" s="46" t="s">
        <v>25</v>
      </c>
      <c r="E635" s="47">
        <v>46.22</v>
      </c>
      <c r="F635" s="48">
        <v>4</v>
      </c>
      <c r="G635" s="78">
        <f t="shared" si="9"/>
        <v>184.88</v>
      </c>
      <c r="H635" s="120">
        <v>43509</v>
      </c>
      <c r="I635" s="50">
        <v>0.83611111111111114</v>
      </c>
      <c r="J635" s="46" t="s">
        <v>15</v>
      </c>
      <c r="K635" s="51">
        <v>6.2</v>
      </c>
      <c r="L635" s="122" t="str">
        <f>IF(AND(Tabla_Ventas[[#This Row],[VENTA TOTAL]]&gt;=30,Tabla_Ventas[[#This Row],[TIPO DE CLIENTE/ Customer type]]="Member"),"PARTICIPA","NO PARTICIPA")</f>
        <v>NO PARTICIPA</v>
      </c>
    </row>
    <row r="636" spans="1:12" ht="19" x14ac:dyDescent="0.25">
      <c r="A636" s="45">
        <v>533335337</v>
      </c>
      <c r="B636" s="46" t="s">
        <v>16</v>
      </c>
      <c r="C636" s="46" t="s">
        <v>18</v>
      </c>
      <c r="D636" s="46" t="s">
        <v>21</v>
      </c>
      <c r="E636" s="47">
        <v>79.39</v>
      </c>
      <c r="F636" s="48">
        <v>10</v>
      </c>
      <c r="G636" s="78">
        <f t="shared" si="9"/>
        <v>793.9</v>
      </c>
      <c r="H636" s="120">
        <v>43503</v>
      </c>
      <c r="I636" s="50">
        <v>0.85</v>
      </c>
      <c r="J636" s="46" t="s">
        <v>23</v>
      </c>
      <c r="K636" s="51">
        <v>6.2</v>
      </c>
      <c r="L636" s="122" t="str">
        <f>IF(AND(Tabla_Ventas[[#This Row],[VENTA TOTAL]]&gt;=30,Tabla_Ventas[[#This Row],[TIPO DE CLIENTE/ Customer type]]="Member"),"PARTICIPA","NO PARTICIPA")</f>
        <v>NO PARTICIPA</v>
      </c>
    </row>
    <row r="637" spans="1:12" ht="19" x14ac:dyDescent="0.25">
      <c r="A637" s="45">
        <v>246113901</v>
      </c>
      <c r="B637" s="46" t="s">
        <v>12</v>
      </c>
      <c r="C637" s="46" t="s">
        <v>18</v>
      </c>
      <c r="D637" s="46" t="s">
        <v>21</v>
      </c>
      <c r="E637" s="47">
        <v>32.799999999999997</v>
      </c>
      <c r="F637" s="48">
        <v>10</v>
      </c>
      <c r="G637" s="78">
        <f t="shared" si="9"/>
        <v>328</v>
      </c>
      <c r="H637" s="120">
        <v>43511</v>
      </c>
      <c r="I637" s="50">
        <v>0.5083333333333333</v>
      </c>
      <c r="J637" s="46" t="s">
        <v>23</v>
      </c>
      <c r="K637" s="51">
        <v>6.2</v>
      </c>
      <c r="L637" s="122" t="str">
        <f>IF(AND(Tabla_Ventas[[#This Row],[VENTA TOTAL]]&gt;=30,Tabla_Ventas[[#This Row],[TIPO DE CLIENTE/ Customer type]]="Member"),"PARTICIPA","NO PARTICIPA")</f>
        <v>NO PARTICIPA</v>
      </c>
    </row>
    <row r="638" spans="1:12" ht="19" x14ac:dyDescent="0.25">
      <c r="A638" s="45">
        <v>862598517</v>
      </c>
      <c r="B638" s="46" t="s">
        <v>12</v>
      </c>
      <c r="C638" s="46" t="s">
        <v>18</v>
      </c>
      <c r="D638" s="46" t="s">
        <v>24</v>
      </c>
      <c r="E638" s="47">
        <v>90.24</v>
      </c>
      <c r="F638" s="48">
        <v>6</v>
      </c>
      <c r="G638" s="78">
        <f t="shared" si="9"/>
        <v>541.43999999999994</v>
      </c>
      <c r="H638" s="120">
        <v>43492</v>
      </c>
      <c r="I638" s="50">
        <v>0.47013888888888888</v>
      </c>
      <c r="J638" s="46" t="s">
        <v>23</v>
      </c>
      <c r="K638" s="51">
        <v>6.2</v>
      </c>
      <c r="L638" s="122" t="str">
        <f>IF(AND(Tabla_Ventas[[#This Row],[VENTA TOTAL]]&gt;=30,Tabla_Ventas[[#This Row],[TIPO DE CLIENTE/ Customer type]]="Member"),"PARTICIPA","NO PARTICIPA")</f>
        <v>NO PARTICIPA</v>
      </c>
    </row>
    <row r="639" spans="1:12" ht="19" x14ac:dyDescent="0.25">
      <c r="A639" s="45">
        <v>347726115</v>
      </c>
      <c r="B639" s="46" t="s">
        <v>16</v>
      </c>
      <c r="C639" s="46" t="s">
        <v>13</v>
      </c>
      <c r="D639" s="46" t="s">
        <v>14</v>
      </c>
      <c r="E639" s="47">
        <v>90.74</v>
      </c>
      <c r="F639" s="48">
        <v>7</v>
      </c>
      <c r="G639" s="78">
        <f t="shared" si="9"/>
        <v>635.17999999999995</v>
      </c>
      <c r="H639" s="120">
        <v>43481</v>
      </c>
      <c r="I639" s="50">
        <v>0.75208333333333333</v>
      </c>
      <c r="J639" s="46" t="s">
        <v>15</v>
      </c>
      <c r="K639" s="51">
        <v>6.2</v>
      </c>
      <c r="L639" s="122" t="str">
        <f>IF(AND(Tabla_Ventas[[#This Row],[VENTA TOTAL]]&gt;=30,Tabla_Ventas[[#This Row],[TIPO DE CLIENTE/ Customer type]]="Member"),"PARTICIPA","NO PARTICIPA")</f>
        <v>PARTICIPA</v>
      </c>
    </row>
    <row r="640" spans="1:12" ht="19" x14ac:dyDescent="0.25">
      <c r="A640" s="45">
        <v>892056689</v>
      </c>
      <c r="B640" s="46" t="s">
        <v>19</v>
      </c>
      <c r="C640" s="46" t="s">
        <v>18</v>
      </c>
      <c r="D640" s="46" t="s">
        <v>25</v>
      </c>
      <c r="E640" s="47">
        <v>28.32</v>
      </c>
      <c r="F640" s="48">
        <v>5</v>
      </c>
      <c r="G640" s="78">
        <f t="shared" si="9"/>
        <v>141.6</v>
      </c>
      <c r="H640" s="120">
        <v>43478</v>
      </c>
      <c r="I640" s="50">
        <v>0.56111111111111112</v>
      </c>
      <c r="J640" s="46" t="s">
        <v>17</v>
      </c>
      <c r="K640" s="51">
        <v>6.2</v>
      </c>
      <c r="L640" s="122" t="str">
        <f>IF(AND(Tabla_Ventas[[#This Row],[VENTA TOTAL]]&gt;=30,Tabla_Ventas[[#This Row],[TIPO DE CLIENTE/ Customer type]]="Member"),"PARTICIPA","NO PARTICIPA")</f>
        <v>NO PARTICIPA</v>
      </c>
    </row>
    <row r="641" spans="1:12" ht="19" x14ac:dyDescent="0.25">
      <c r="A641" s="45">
        <v>592346155</v>
      </c>
      <c r="B641" s="46" t="s">
        <v>12</v>
      </c>
      <c r="C641" s="46" t="s">
        <v>18</v>
      </c>
      <c r="D641" s="46" t="s">
        <v>24</v>
      </c>
      <c r="E641" s="47">
        <v>31.77</v>
      </c>
      <c r="F641" s="48">
        <v>4</v>
      </c>
      <c r="G641" s="78">
        <f t="shared" si="9"/>
        <v>127.08</v>
      </c>
      <c r="H641" s="120">
        <v>43479</v>
      </c>
      <c r="I641" s="50">
        <v>0.61319444444444449</v>
      </c>
      <c r="J641" s="46" t="s">
        <v>17</v>
      </c>
      <c r="K641" s="51">
        <v>6.2</v>
      </c>
      <c r="L641" s="122" t="str">
        <f>IF(AND(Tabla_Ventas[[#This Row],[VENTA TOTAL]]&gt;=30,Tabla_Ventas[[#This Row],[TIPO DE CLIENTE/ Customer type]]="Member"),"PARTICIPA","NO PARTICIPA")</f>
        <v>NO PARTICIPA</v>
      </c>
    </row>
    <row r="642" spans="1:12" ht="19" x14ac:dyDescent="0.25">
      <c r="A642" s="45">
        <v>421959805</v>
      </c>
      <c r="B642" s="46" t="s">
        <v>19</v>
      </c>
      <c r="C642" s="46" t="s">
        <v>18</v>
      </c>
      <c r="D642" s="46" t="s">
        <v>21</v>
      </c>
      <c r="E642" s="49">
        <v>28.96</v>
      </c>
      <c r="F642" s="48">
        <v>1</v>
      </c>
      <c r="G642" s="78">
        <f t="shared" si="9"/>
        <v>28.96</v>
      </c>
      <c r="H642" s="120">
        <v>43503</v>
      </c>
      <c r="I642" s="50">
        <v>0.4291666666666667</v>
      </c>
      <c r="J642" s="46" t="s">
        <v>15</v>
      </c>
      <c r="K642" s="51">
        <v>6.2</v>
      </c>
      <c r="L642" s="122" t="str">
        <f>IF(AND(Tabla_Ventas[[#This Row],[VENTA TOTAL]]&gt;=30,Tabla_Ventas[[#This Row],[TIPO DE CLIENTE/ Customer type]]="Member"),"PARTICIPA","NO PARTICIPA")</f>
        <v>NO PARTICIPA</v>
      </c>
    </row>
    <row r="643" spans="1:12" ht="19" x14ac:dyDescent="0.25">
      <c r="A643" s="45">
        <v>652436591</v>
      </c>
      <c r="B643" s="46" t="s">
        <v>19</v>
      </c>
      <c r="C643" s="46" t="s">
        <v>18</v>
      </c>
      <c r="D643" s="46" t="s">
        <v>22</v>
      </c>
      <c r="E643" s="49">
        <v>97.29</v>
      </c>
      <c r="F643" s="48">
        <v>8</v>
      </c>
      <c r="G643" s="78">
        <f t="shared" si="9"/>
        <v>778.32</v>
      </c>
      <c r="H643" s="120">
        <v>43533</v>
      </c>
      <c r="I643" s="50">
        <v>0.5541666666666667</v>
      </c>
      <c r="J643" s="46" t="s">
        <v>15</v>
      </c>
      <c r="K643" s="51">
        <v>6.2</v>
      </c>
      <c r="L643" s="122" t="str">
        <f>IF(AND(Tabla_Ventas[[#This Row],[VENTA TOTAL]]&gt;=30,Tabla_Ventas[[#This Row],[TIPO DE CLIENTE/ Customer type]]="Member"),"PARTICIPA","NO PARTICIPA")</f>
        <v>NO PARTICIPA</v>
      </c>
    </row>
    <row r="644" spans="1:12" ht="19" x14ac:dyDescent="0.25">
      <c r="A644" s="45">
        <v>565914567</v>
      </c>
      <c r="B644" s="46" t="s">
        <v>12</v>
      </c>
      <c r="C644" s="46" t="s">
        <v>18</v>
      </c>
      <c r="D644" s="46" t="s">
        <v>20</v>
      </c>
      <c r="E644" s="49">
        <v>10.75</v>
      </c>
      <c r="F644" s="48">
        <v>8</v>
      </c>
      <c r="G644" s="78">
        <f t="shared" ref="G644:G707" si="10">F644*E644</f>
        <v>86</v>
      </c>
      <c r="H644" s="120">
        <v>43539</v>
      </c>
      <c r="I644" s="50">
        <v>0.60972222222222217</v>
      </c>
      <c r="J644" s="46" t="s">
        <v>17</v>
      </c>
      <c r="K644" s="51">
        <v>6.2</v>
      </c>
      <c r="L644" s="122" t="str">
        <f>IF(AND(Tabla_Ventas[[#This Row],[VENTA TOTAL]]&gt;=30,Tabla_Ventas[[#This Row],[TIPO DE CLIENTE/ Customer type]]="Member"),"PARTICIPA","NO PARTICIPA")</f>
        <v>NO PARTICIPA</v>
      </c>
    </row>
    <row r="645" spans="1:12" ht="19" x14ac:dyDescent="0.25">
      <c r="A645" s="45">
        <v>544559589</v>
      </c>
      <c r="B645" s="46" t="s">
        <v>12</v>
      </c>
      <c r="C645" s="46" t="s">
        <v>13</v>
      </c>
      <c r="D645" s="46" t="s">
        <v>21</v>
      </c>
      <c r="E645" s="49">
        <v>21.43</v>
      </c>
      <c r="F645" s="48">
        <v>10</v>
      </c>
      <c r="G645" s="78">
        <f t="shared" si="10"/>
        <v>214.3</v>
      </c>
      <c r="H645" s="120">
        <v>43493</v>
      </c>
      <c r="I645" s="50">
        <v>0.49374999999999997</v>
      </c>
      <c r="J645" s="46" t="s">
        <v>23</v>
      </c>
      <c r="K645" s="51">
        <v>6.2</v>
      </c>
      <c r="L645" s="122" t="str">
        <f>IF(AND(Tabla_Ventas[[#This Row],[VENTA TOTAL]]&gt;=30,Tabla_Ventas[[#This Row],[TIPO DE CLIENTE/ Customer type]]="Member"),"PARTICIPA","NO PARTICIPA")</f>
        <v>PARTICIPA</v>
      </c>
    </row>
    <row r="646" spans="1:12" ht="19" x14ac:dyDescent="0.25">
      <c r="A646" s="45">
        <v>186715196</v>
      </c>
      <c r="B646" s="46" t="s">
        <v>19</v>
      </c>
      <c r="C646" s="46" t="s">
        <v>13</v>
      </c>
      <c r="D646" s="46" t="s">
        <v>24</v>
      </c>
      <c r="E646" s="49">
        <v>79.540000000000006</v>
      </c>
      <c r="F646" s="48">
        <v>2</v>
      </c>
      <c r="G646" s="78">
        <f t="shared" si="10"/>
        <v>159.08000000000001</v>
      </c>
      <c r="H646" s="120">
        <v>43551</v>
      </c>
      <c r="I646" s="50">
        <v>0.6875</v>
      </c>
      <c r="J646" s="46" t="s">
        <v>17</v>
      </c>
      <c r="K646" s="51">
        <v>6.2</v>
      </c>
      <c r="L646" s="122" t="str">
        <f>IF(AND(Tabla_Ventas[[#This Row],[VENTA TOTAL]]&gt;=30,Tabla_Ventas[[#This Row],[TIPO DE CLIENTE/ Customer type]]="Member"),"PARTICIPA","NO PARTICIPA")</f>
        <v>PARTICIPA</v>
      </c>
    </row>
    <row r="647" spans="1:12" ht="19" x14ac:dyDescent="0.25">
      <c r="A647" s="45">
        <v>552445977</v>
      </c>
      <c r="B647" s="46" t="s">
        <v>12</v>
      </c>
      <c r="C647" s="46" t="s">
        <v>13</v>
      </c>
      <c r="D647" s="46" t="s">
        <v>20</v>
      </c>
      <c r="E647" s="49">
        <v>62</v>
      </c>
      <c r="F647" s="48">
        <v>8</v>
      </c>
      <c r="G647" s="78">
        <f t="shared" si="10"/>
        <v>496</v>
      </c>
      <c r="H647" s="120">
        <v>43468</v>
      </c>
      <c r="I647" s="50">
        <v>0.79722222222222217</v>
      </c>
      <c r="J647" s="46" t="s">
        <v>15</v>
      </c>
      <c r="K647" s="51">
        <v>6.2</v>
      </c>
      <c r="L647" s="122" t="str">
        <f>IF(AND(Tabla_Ventas[[#This Row],[VENTA TOTAL]]&gt;=30,Tabla_Ventas[[#This Row],[TIPO DE CLIENTE/ Customer type]]="Member"),"PARTICIPA","NO PARTICIPA")</f>
        <v>PARTICIPA</v>
      </c>
    </row>
    <row r="648" spans="1:12" ht="19" x14ac:dyDescent="0.25">
      <c r="A648" s="45">
        <v>233675758</v>
      </c>
      <c r="B648" s="46" t="s">
        <v>16</v>
      </c>
      <c r="C648" s="46" t="s">
        <v>18</v>
      </c>
      <c r="D648" s="46" t="s">
        <v>20</v>
      </c>
      <c r="E648" s="49">
        <v>40.35</v>
      </c>
      <c r="F648" s="48">
        <v>1</v>
      </c>
      <c r="G648" s="78">
        <f t="shared" si="10"/>
        <v>40.35</v>
      </c>
      <c r="H648" s="120">
        <v>43494</v>
      </c>
      <c r="I648" s="50">
        <v>0.57361111111111118</v>
      </c>
      <c r="J648" s="46" t="s">
        <v>17</v>
      </c>
      <c r="K648" s="51">
        <v>6.2</v>
      </c>
      <c r="L648" s="122" t="str">
        <f>IF(AND(Tabla_Ventas[[#This Row],[VENTA TOTAL]]&gt;=30,Tabla_Ventas[[#This Row],[TIPO DE CLIENTE/ Customer type]]="Member"),"PARTICIPA","NO PARTICIPA")</f>
        <v>NO PARTICIPA</v>
      </c>
    </row>
    <row r="649" spans="1:12" ht="19" x14ac:dyDescent="0.25">
      <c r="A649" s="45">
        <v>778715554</v>
      </c>
      <c r="B649" s="46" t="s">
        <v>12</v>
      </c>
      <c r="C649" s="46" t="s">
        <v>13</v>
      </c>
      <c r="D649" s="46" t="s">
        <v>22</v>
      </c>
      <c r="E649" s="47">
        <v>15.43</v>
      </c>
      <c r="F649" s="48">
        <v>1</v>
      </c>
      <c r="G649" s="78">
        <f t="shared" si="10"/>
        <v>15.43</v>
      </c>
      <c r="H649" s="120">
        <v>43490</v>
      </c>
      <c r="I649" s="50">
        <v>0.65694444444444444</v>
      </c>
      <c r="J649" s="46" t="s">
        <v>15</v>
      </c>
      <c r="K649" s="51">
        <v>6.1</v>
      </c>
      <c r="L649" s="122" t="str">
        <f>IF(AND(Tabla_Ventas[[#This Row],[VENTA TOTAL]]&gt;=30,Tabla_Ventas[[#This Row],[TIPO DE CLIENTE/ Customer type]]="Member"),"PARTICIPA","NO PARTICIPA")</f>
        <v>NO PARTICIPA</v>
      </c>
    </row>
    <row r="650" spans="1:12" ht="19" x14ac:dyDescent="0.25">
      <c r="A650" s="45">
        <v>318685053</v>
      </c>
      <c r="B650" s="46" t="s">
        <v>16</v>
      </c>
      <c r="C650" s="46" t="s">
        <v>18</v>
      </c>
      <c r="D650" s="46" t="s">
        <v>20</v>
      </c>
      <c r="E650" s="47">
        <v>76.989999999999995</v>
      </c>
      <c r="F650" s="48">
        <v>6</v>
      </c>
      <c r="G650" s="78">
        <f t="shared" si="10"/>
        <v>461.93999999999994</v>
      </c>
      <c r="H650" s="120">
        <v>43523</v>
      </c>
      <c r="I650" s="50">
        <v>0.74652777777777779</v>
      </c>
      <c r="J650" s="46" t="s">
        <v>23</v>
      </c>
      <c r="K650" s="51">
        <v>6.1</v>
      </c>
      <c r="L650" s="122" t="str">
        <f>IF(AND(Tabla_Ventas[[#This Row],[VENTA TOTAL]]&gt;=30,Tabla_Ventas[[#This Row],[TIPO DE CLIENTE/ Customer type]]="Member"),"PARTICIPA","NO PARTICIPA")</f>
        <v>NO PARTICIPA</v>
      </c>
    </row>
    <row r="651" spans="1:12" ht="19" x14ac:dyDescent="0.25">
      <c r="A651" s="45">
        <v>279742924</v>
      </c>
      <c r="B651" s="46" t="s">
        <v>16</v>
      </c>
      <c r="C651" s="46" t="s">
        <v>13</v>
      </c>
      <c r="D651" s="46" t="s">
        <v>21</v>
      </c>
      <c r="E651" s="47">
        <v>72.17</v>
      </c>
      <c r="F651" s="48">
        <v>1</v>
      </c>
      <c r="G651" s="78">
        <f t="shared" si="10"/>
        <v>72.17</v>
      </c>
      <c r="H651" s="120">
        <v>43556</v>
      </c>
      <c r="I651" s="50">
        <v>0.81944444444444453</v>
      </c>
      <c r="J651" s="46" t="s">
        <v>23</v>
      </c>
      <c r="K651" s="51">
        <v>6.1</v>
      </c>
      <c r="L651" s="122" t="str">
        <f>IF(AND(Tabla_Ventas[[#This Row],[VENTA TOTAL]]&gt;=30,Tabla_Ventas[[#This Row],[TIPO DE CLIENTE/ Customer type]]="Member"),"PARTICIPA","NO PARTICIPA")</f>
        <v>PARTICIPA</v>
      </c>
    </row>
    <row r="652" spans="1:12" ht="19" x14ac:dyDescent="0.25">
      <c r="A652" s="45">
        <v>856228149</v>
      </c>
      <c r="B652" s="46" t="s">
        <v>19</v>
      </c>
      <c r="C652" s="46" t="s">
        <v>18</v>
      </c>
      <c r="D652" s="46" t="s">
        <v>25</v>
      </c>
      <c r="E652" s="47">
        <v>25.29</v>
      </c>
      <c r="F652" s="48">
        <v>1</v>
      </c>
      <c r="G652" s="78">
        <f t="shared" si="10"/>
        <v>25.29</v>
      </c>
      <c r="H652" s="120">
        <v>43547</v>
      </c>
      <c r="I652" s="50">
        <v>0.42569444444444443</v>
      </c>
      <c r="J652" s="46" t="s">
        <v>17</v>
      </c>
      <c r="K652" s="51">
        <v>6.1</v>
      </c>
      <c r="L652" s="122" t="str">
        <f>IF(AND(Tabla_Ventas[[#This Row],[VENTA TOTAL]]&gt;=30,Tabla_Ventas[[#This Row],[TIPO DE CLIENTE/ Customer type]]="Member"),"PARTICIPA","NO PARTICIPA")</f>
        <v>NO PARTICIPA</v>
      </c>
    </row>
    <row r="653" spans="1:12" ht="19" x14ac:dyDescent="0.25">
      <c r="A653" s="45">
        <v>239363640</v>
      </c>
      <c r="B653" s="46" t="s">
        <v>16</v>
      </c>
      <c r="C653" s="46" t="s">
        <v>18</v>
      </c>
      <c r="D653" s="46" t="s">
        <v>21</v>
      </c>
      <c r="E653" s="47">
        <v>45.35</v>
      </c>
      <c r="F653" s="48">
        <v>6</v>
      </c>
      <c r="G653" s="78">
        <f t="shared" si="10"/>
        <v>272.10000000000002</v>
      </c>
      <c r="H653" s="120">
        <v>43496</v>
      </c>
      <c r="I653" s="50">
        <v>0.57222222222222219</v>
      </c>
      <c r="J653" s="46" t="s">
        <v>17</v>
      </c>
      <c r="K653" s="51">
        <v>6.1</v>
      </c>
      <c r="L653" s="122" t="str">
        <f>IF(AND(Tabla_Ventas[[#This Row],[VENTA TOTAL]]&gt;=30,Tabla_Ventas[[#This Row],[TIPO DE CLIENTE/ Customer type]]="Member"),"PARTICIPA","NO PARTICIPA")</f>
        <v>NO PARTICIPA</v>
      </c>
    </row>
    <row r="654" spans="1:12" ht="19" x14ac:dyDescent="0.25">
      <c r="A654" s="45">
        <v>326712155</v>
      </c>
      <c r="B654" s="46" t="s">
        <v>12</v>
      </c>
      <c r="C654" s="46" t="s">
        <v>18</v>
      </c>
      <c r="D654" s="46" t="s">
        <v>14</v>
      </c>
      <c r="E654" s="47">
        <v>73.95</v>
      </c>
      <c r="F654" s="48">
        <v>4</v>
      </c>
      <c r="G654" s="78">
        <f t="shared" si="10"/>
        <v>295.8</v>
      </c>
      <c r="H654" s="120">
        <v>43499</v>
      </c>
      <c r="I654" s="50">
        <v>0.41805555555555557</v>
      </c>
      <c r="J654" s="46" t="s">
        <v>23</v>
      </c>
      <c r="K654" s="51">
        <v>6.1</v>
      </c>
      <c r="L654" s="122" t="str">
        <f>IF(AND(Tabla_Ventas[[#This Row],[VENTA TOTAL]]&gt;=30,Tabla_Ventas[[#This Row],[TIPO DE CLIENTE/ Customer type]]="Member"),"PARTICIPA","NO PARTICIPA")</f>
        <v>NO PARTICIPA</v>
      </c>
    </row>
    <row r="655" spans="1:12" ht="19" x14ac:dyDescent="0.25">
      <c r="A655" s="45">
        <v>209610206</v>
      </c>
      <c r="B655" s="46" t="s">
        <v>19</v>
      </c>
      <c r="C655" s="46" t="s">
        <v>18</v>
      </c>
      <c r="D655" s="46" t="s">
        <v>25</v>
      </c>
      <c r="E655" s="47">
        <v>42.91</v>
      </c>
      <c r="F655" s="48">
        <v>5</v>
      </c>
      <c r="G655" s="78">
        <f t="shared" si="10"/>
        <v>214.54999999999998</v>
      </c>
      <c r="H655" s="120">
        <v>43586</v>
      </c>
      <c r="I655" s="50">
        <v>0.7284722222222223</v>
      </c>
      <c r="J655" s="46" t="s">
        <v>17</v>
      </c>
      <c r="K655" s="51">
        <v>6.1</v>
      </c>
      <c r="L655" s="122" t="str">
        <f>IF(AND(Tabla_Ventas[[#This Row],[VENTA TOTAL]]&gt;=30,Tabla_Ventas[[#This Row],[TIPO DE CLIENTE/ Customer type]]="Member"),"PARTICIPA","NO PARTICIPA")</f>
        <v>NO PARTICIPA</v>
      </c>
    </row>
    <row r="656" spans="1:12" ht="19" x14ac:dyDescent="0.25">
      <c r="A656" s="45">
        <v>827445872</v>
      </c>
      <c r="B656" s="46" t="s">
        <v>16</v>
      </c>
      <c r="C656" s="46" t="s">
        <v>13</v>
      </c>
      <c r="D656" s="46" t="s">
        <v>24</v>
      </c>
      <c r="E656" s="47">
        <v>54.36</v>
      </c>
      <c r="F656" s="48">
        <v>10</v>
      </c>
      <c r="G656" s="78">
        <f t="shared" si="10"/>
        <v>543.6</v>
      </c>
      <c r="H656" s="120">
        <v>43503</v>
      </c>
      <c r="I656" s="50">
        <v>0.4777777777777778</v>
      </c>
      <c r="J656" s="46" t="s">
        <v>15</v>
      </c>
      <c r="K656" s="51">
        <v>6.1</v>
      </c>
      <c r="L656" s="122" t="str">
        <f>IF(AND(Tabla_Ventas[[#This Row],[VENTA TOTAL]]&gt;=30,Tabla_Ventas[[#This Row],[TIPO DE CLIENTE/ Customer type]]="Member"),"PARTICIPA","NO PARTICIPA")</f>
        <v>PARTICIPA</v>
      </c>
    </row>
    <row r="657" spans="1:12" ht="19" x14ac:dyDescent="0.25">
      <c r="A657" s="45">
        <v>173572300</v>
      </c>
      <c r="B657" s="46" t="s">
        <v>16</v>
      </c>
      <c r="C657" s="46" t="s">
        <v>13</v>
      </c>
      <c r="D657" s="46" t="s">
        <v>14</v>
      </c>
      <c r="E657" s="49">
        <v>72.88</v>
      </c>
      <c r="F657" s="48">
        <v>2</v>
      </c>
      <c r="G657" s="78">
        <f t="shared" si="10"/>
        <v>145.76</v>
      </c>
      <c r="H657" s="120">
        <v>43537</v>
      </c>
      <c r="I657" s="50">
        <v>0.53541666666666665</v>
      </c>
      <c r="J657" s="46" t="s">
        <v>23</v>
      </c>
      <c r="K657" s="51">
        <v>6.1</v>
      </c>
      <c r="L657" s="122" t="str">
        <f>IF(AND(Tabla_Ventas[[#This Row],[VENTA TOTAL]]&gt;=30,Tabla_Ventas[[#This Row],[TIPO DE CLIENTE/ Customer type]]="Member"),"PARTICIPA","NO PARTICIPA")</f>
        <v>PARTICIPA</v>
      </c>
    </row>
    <row r="658" spans="1:12" ht="19" x14ac:dyDescent="0.25">
      <c r="A658" s="45">
        <v>445309252</v>
      </c>
      <c r="B658" s="46" t="s">
        <v>19</v>
      </c>
      <c r="C658" s="46" t="s">
        <v>18</v>
      </c>
      <c r="D658" s="46" t="s">
        <v>14</v>
      </c>
      <c r="E658" s="49">
        <v>25.7</v>
      </c>
      <c r="F658" s="48">
        <v>3</v>
      </c>
      <c r="G658" s="78">
        <f t="shared" si="10"/>
        <v>77.099999999999994</v>
      </c>
      <c r="H658" s="120">
        <v>43482</v>
      </c>
      <c r="I658" s="50">
        <v>0.74930555555555556</v>
      </c>
      <c r="J658" s="46" t="s">
        <v>17</v>
      </c>
      <c r="K658" s="51">
        <v>6.1</v>
      </c>
      <c r="L658" s="122" t="str">
        <f>IF(AND(Tabla_Ventas[[#This Row],[VENTA TOTAL]]&gt;=30,Tabla_Ventas[[#This Row],[TIPO DE CLIENTE/ Customer type]]="Member"),"PARTICIPA","NO PARTICIPA")</f>
        <v>NO PARTICIPA</v>
      </c>
    </row>
    <row r="659" spans="1:12" ht="19" x14ac:dyDescent="0.25">
      <c r="A659" s="45">
        <v>821149046</v>
      </c>
      <c r="B659" s="46" t="s">
        <v>12</v>
      </c>
      <c r="C659" s="46" t="s">
        <v>13</v>
      </c>
      <c r="D659" s="46" t="s">
        <v>22</v>
      </c>
      <c r="E659" s="49">
        <v>17.48</v>
      </c>
      <c r="F659" s="48">
        <v>6</v>
      </c>
      <c r="G659" s="78">
        <f t="shared" si="10"/>
        <v>104.88</v>
      </c>
      <c r="H659" s="120">
        <v>43483</v>
      </c>
      <c r="I659" s="50">
        <v>0.62777777777777777</v>
      </c>
      <c r="J659" s="46" t="s">
        <v>15</v>
      </c>
      <c r="K659" s="51">
        <v>6.1</v>
      </c>
      <c r="L659" s="122" t="str">
        <f>IF(AND(Tabla_Ventas[[#This Row],[VENTA TOTAL]]&gt;=30,Tabla_Ventas[[#This Row],[TIPO DE CLIENTE/ Customer type]]="Member"),"PARTICIPA","NO PARTICIPA")</f>
        <v>PARTICIPA</v>
      </c>
    </row>
    <row r="660" spans="1:12" ht="19" x14ac:dyDescent="0.25">
      <c r="A660" s="45">
        <v>102062002</v>
      </c>
      <c r="B660" s="46" t="s">
        <v>16</v>
      </c>
      <c r="C660" s="46" t="s">
        <v>13</v>
      </c>
      <c r="D660" s="46" t="s">
        <v>14</v>
      </c>
      <c r="E660" s="49">
        <v>25.25</v>
      </c>
      <c r="F660" s="48">
        <v>5</v>
      </c>
      <c r="G660" s="78">
        <f t="shared" si="10"/>
        <v>126.25</v>
      </c>
      <c r="H660" s="120">
        <v>43544</v>
      </c>
      <c r="I660" s="50">
        <v>0.74444444444444446</v>
      </c>
      <c r="J660" s="46" t="s">
        <v>23</v>
      </c>
      <c r="K660" s="51">
        <v>6.1</v>
      </c>
      <c r="L660" s="122" t="str">
        <f>IF(AND(Tabla_Ventas[[#This Row],[VENTA TOTAL]]&gt;=30,Tabla_Ventas[[#This Row],[TIPO DE CLIENTE/ Customer type]]="Member"),"PARTICIPA","NO PARTICIPA")</f>
        <v>PARTICIPA</v>
      </c>
    </row>
    <row r="661" spans="1:12" ht="19" x14ac:dyDescent="0.25">
      <c r="A661" s="45">
        <v>608053804</v>
      </c>
      <c r="B661" s="46" t="s">
        <v>12</v>
      </c>
      <c r="C661" s="46" t="s">
        <v>13</v>
      </c>
      <c r="D661" s="46" t="s">
        <v>21</v>
      </c>
      <c r="E661" s="49">
        <v>39.75</v>
      </c>
      <c r="F661" s="48">
        <v>1</v>
      </c>
      <c r="G661" s="78">
        <f t="shared" si="10"/>
        <v>39.75</v>
      </c>
      <c r="H661" s="120">
        <v>43521</v>
      </c>
      <c r="I661" s="50">
        <v>0.84652777777777777</v>
      </c>
      <c r="J661" s="46" t="s">
        <v>23</v>
      </c>
      <c r="K661" s="51">
        <v>6.1</v>
      </c>
      <c r="L661" s="122" t="str">
        <f>IF(AND(Tabla_Ventas[[#This Row],[VENTA TOTAL]]&gt;=30,Tabla_Ventas[[#This Row],[TIPO DE CLIENTE/ Customer type]]="Member"),"PARTICIPA","NO PARTICIPA")</f>
        <v>PARTICIPA</v>
      </c>
    </row>
    <row r="662" spans="1:12" ht="19" x14ac:dyDescent="0.25">
      <c r="A662" s="45">
        <v>148417930</v>
      </c>
      <c r="B662" s="46" t="s">
        <v>16</v>
      </c>
      <c r="C662" s="46" t="s">
        <v>18</v>
      </c>
      <c r="D662" s="46" t="s">
        <v>20</v>
      </c>
      <c r="E662" s="49">
        <v>99.96</v>
      </c>
      <c r="F662" s="48">
        <v>7</v>
      </c>
      <c r="G662" s="78">
        <f t="shared" si="10"/>
        <v>699.71999999999991</v>
      </c>
      <c r="H662" s="120">
        <v>43488</v>
      </c>
      <c r="I662" s="50">
        <v>0.43958333333333338</v>
      </c>
      <c r="J662" s="46" t="s">
        <v>23</v>
      </c>
      <c r="K662" s="51">
        <v>6.1</v>
      </c>
      <c r="L662" s="122" t="str">
        <f>IF(AND(Tabla_Ventas[[#This Row],[VENTA TOTAL]]&gt;=30,Tabla_Ventas[[#This Row],[TIPO DE CLIENTE/ Customer type]]="Member"),"PARTICIPA","NO PARTICIPA")</f>
        <v>NO PARTICIPA</v>
      </c>
    </row>
    <row r="663" spans="1:12" ht="19" x14ac:dyDescent="0.25">
      <c r="A663" s="45">
        <v>549591358</v>
      </c>
      <c r="B663" s="46" t="s">
        <v>19</v>
      </c>
      <c r="C663" s="46" t="s">
        <v>13</v>
      </c>
      <c r="D663" s="46" t="s">
        <v>14</v>
      </c>
      <c r="E663" s="47">
        <v>88.63</v>
      </c>
      <c r="F663" s="48">
        <v>3</v>
      </c>
      <c r="G663" s="78">
        <f t="shared" si="10"/>
        <v>265.89</v>
      </c>
      <c r="H663" s="120">
        <v>43499</v>
      </c>
      <c r="I663" s="50">
        <v>0.73333333333333339</v>
      </c>
      <c r="J663" s="46" t="s">
        <v>17</v>
      </c>
      <c r="K663" s="51">
        <v>6</v>
      </c>
      <c r="L663" s="122" t="str">
        <f>IF(AND(Tabla_Ventas[[#This Row],[VENTA TOTAL]]&gt;=30,Tabla_Ventas[[#This Row],[TIPO DE CLIENTE/ Customer type]]="Member"),"PARTICIPA","NO PARTICIPA")</f>
        <v>PARTICIPA</v>
      </c>
    </row>
    <row r="664" spans="1:12" ht="19" x14ac:dyDescent="0.25">
      <c r="A664" s="45">
        <v>756017507</v>
      </c>
      <c r="B664" s="46" t="s">
        <v>12</v>
      </c>
      <c r="C664" s="46" t="s">
        <v>18</v>
      </c>
      <c r="D664" s="46" t="s">
        <v>20</v>
      </c>
      <c r="E664" s="47">
        <v>20.38</v>
      </c>
      <c r="F664" s="48">
        <v>5</v>
      </c>
      <c r="G664" s="78">
        <f t="shared" si="10"/>
        <v>101.89999999999999</v>
      </c>
      <c r="H664" s="120">
        <v>43487</v>
      </c>
      <c r="I664" s="50">
        <v>0.78888888888888886</v>
      </c>
      <c r="J664" s="46" t="s">
        <v>23</v>
      </c>
      <c r="K664" s="51">
        <v>6</v>
      </c>
      <c r="L664" s="122" t="str">
        <f>IF(AND(Tabla_Ventas[[#This Row],[VENTA TOTAL]]&gt;=30,Tabla_Ventas[[#This Row],[TIPO DE CLIENTE/ Customer type]]="Member"),"PARTICIPA","NO PARTICIPA")</f>
        <v>NO PARTICIPA</v>
      </c>
    </row>
    <row r="665" spans="1:12" ht="19" x14ac:dyDescent="0.25">
      <c r="A665" s="45">
        <v>642322990</v>
      </c>
      <c r="B665" s="46" t="s">
        <v>19</v>
      </c>
      <c r="C665" s="46" t="s">
        <v>18</v>
      </c>
      <c r="D665" s="46" t="s">
        <v>24</v>
      </c>
      <c r="E665" s="47">
        <v>10.96</v>
      </c>
      <c r="F665" s="48">
        <v>10</v>
      </c>
      <c r="G665" s="78">
        <f t="shared" si="10"/>
        <v>109.60000000000001</v>
      </c>
      <c r="H665" s="120">
        <v>43498</v>
      </c>
      <c r="I665" s="50">
        <v>0.8666666666666667</v>
      </c>
      <c r="J665" s="46" t="s">
        <v>17</v>
      </c>
      <c r="K665" s="51">
        <v>6</v>
      </c>
      <c r="L665" s="122" t="str">
        <f>IF(AND(Tabla_Ventas[[#This Row],[VENTA TOTAL]]&gt;=30,Tabla_Ventas[[#This Row],[TIPO DE CLIENTE/ Customer type]]="Member"),"PARTICIPA","NO PARTICIPA")</f>
        <v>NO PARTICIPA</v>
      </c>
    </row>
    <row r="666" spans="1:12" ht="19" x14ac:dyDescent="0.25">
      <c r="A666" s="45">
        <v>743041105</v>
      </c>
      <c r="B666" s="46" t="s">
        <v>16</v>
      </c>
      <c r="C666" s="46" t="s">
        <v>13</v>
      </c>
      <c r="D666" s="46" t="s">
        <v>20</v>
      </c>
      <c r="E666" s="47">
        <v>97.22</v>
      </c>
      <c r="F666" s="48">
        <v>9</v>
      </c>
      <c r="G666" s="78">
        <f t="shared" si="10"/>
        <v>874.98</v>
      </c>
      <c r="H666" s="120">
        <v>43554</v>
      </c>
      <c r="I666" s="50">
        <v>0.61319444444444449</v>
      </c>
      <c r="J666" s="46" t="s">
        <v>17</v>
      </c>
      <c r="K666" s="51">
        <v>6</v>
      </c>
      <c r="L666" s="122" t="str">
        <f>IF(AND(Tabla_Ventas[[#This Row],[VENTA TOTAL]]&gt;=30,Tabla_Ventas[[#This Row],[TIPO DE CLIENTE/ Customer type]]="Member"),"PARTICIPA","NO PARTICIPA")</f>
        <v>PARTICIPA</v>
      </c>
    </row>
    <row r="667" spans="1:12" ht="19" x14ac:dyDescent="0.25">
      <c r="A667" s="45">
        <v>275280149</v>
      </c>
      <c r="B667" s="46" t="s">
        <v>19</v>
      </c>
      <c r="C667" s="46" t="s">
        <v>18</v>
      </c>
      <c r="D667" s="46" t="s">
        <v>14</v>
      </c>
      <c r="E667" s="47">
        <v>63.69</v>
      </c>
      <c r="F667" s="48">
        <v>1</v>
      </c>
      <c r="G667" s="78">
        <f t="shared" si="10"/>
        <v>63.69</v>
      </c>
      <c r="H667" s="120">
        <v>43521</v>
      </c>
      <c r="I667" s="50">
        <v>0.68125000000000002</v>
      </c>
      <c r="J667" s="46" t="s">
        <v>23</v>
      </c>
      <c r="K667" s="51">
        <v>6</v>
      </c>
      <c r="L667" s="122" t="str">
        <f>IF(AND(Tabla_Ventas[[#This Row],[VENTA TOTAL]]&gt;=30,Tabla_Ventas[[#This Row],[TIPO DE CLIENTE/ Customer type]]="Member"),"PARTICIPA","NO PARTICIPA")</f>
        <v>NO PARTICIPA</v>
      </c>
    </row>
    <row r="668" spans="1:12" ht="19" x14ac:dyDescent="0.25">
      <c r="A668" s="45">
        <v>142724741</v>
      </c>
      <c r="B668" s="46" t="s">
        <v>12</v>
      </c>
      <c r="C668" s="46" t="s">
        <v>13</v>
      </c>
      <c r="D668" s="46" t="s">
        <v>22</v>
      </c>
      <c r="E668" s="47">
        <v>93.2</v>
      </c>
      <c r="F668" s="48">
        <v>2</v>
      </c>
      <c r="G668" s="78">
        <f t="shared" si="10"/>
        <v>186.4</v>
      </c>
      <c r="H668" s="120">
        <v>43524</v>
      </c>
      <c r="I668" s="50">
        <v>0.77569444444444446</v>
      </c>
      <c r="J668" s="46" t="s">
        <v>15</v>
      </c>
      <c r="K668" s="51">
        <v>6</v>
      </c>
      <c r="L668" s="122" t="str">
        <f>IF(AND(Tabla_Ventas[[#This Row],[VENTA TOTAL]]&gt;=30,Tabla_Ventas[[#This Row],[TIPO DE CLIENTE/ Customer type]]="Member"),"PARTICIPA","NO PARTICIPA")</f>
        <v>PARTICIPA</v>
      </c>
    </row>
    <row r="669" spans="1:12" ht="19" x14ac:dyDescent="0.25">
      <c r="A669" s="45">
        <v>558804082</v>
      </c>
      <c r="B669" s="46" t="s">
        <v>12</v>
      </c>
      <c r="C669" s="46" t="s">
        <v>18</v>
      </c>
      <c r="D669" s="46" t="s">
        <v>21</v>
      </c>
      <c r="E669" s="47">
        <v>27.85</v>
      </c>
      <c r="F669" s="48">
        <v>7</v>
      </c>
      <c r="G669" s="78">
        <f t="shared" si="10"/>
        <v>194.95000000000002</v>
      </c>
      <c r="H669" s="120">
        <v>43538</v>
      </c>
      <c r="I669" s="50">
        <v>0.72222222222222221</v>
      </c>
      <c r="J669" s="46" t="s">
        <v>17</v>
      </c>
      <c r="K669" s="51">
        <v>6</v>
      </c>
      <c r="L669" s="122" t="str">
        <f>IF(AND(Tabla_Ventas[[#This Row],[VENTA TOTAL]]&gt;=30,Tabla_Ventas[[#This Row],[TIPO DE CLIENTE/ Customer type]]="Member"),"PARTICIPA","NO PARTICIPA")</f>
        <v>NO PARTICIPA</v>
      </c>
    </row>
    <row r="670" spans="1:12" ht="19" x14ac:dyDescent="0.25">
      <c r="A670" s="45">
        <v>468880009</v>
      </c>
      <c r="B670" s="46" t="s">
        <v>19</v>
      </c>
      <c r="C670" s="46" t="s">
        <v>13</v>
      </c>
      <c r="D670" s="46" t="s">
        <v>25</v>
      </c>
      <c r="E670" s="47">
        <v>65.94</v>
      </c>
      <c r="F670" s="48">
        <v>4</v>
      </c>
      <c r="G670" s="78">
        <f t="shared" si="10"/>
        <v>263.76</v>
      </c>
      <c r="H670" s="120">
        <v>43548</v>
      </c>
      <c r="I670" s="50">
        <v>0.4368055555555555</v>
      </c>
      <c r="J670" s="46" t="s">
        <v>23</v>
      </c>
      <c r="K670" s="51">
        <v>6</v>
      </c>
      <c r="L670" s="122" t="str">
        <f>IF(AND(Tabla_Ventas[[#This Row],[VENTA TOTAL]]&gt;=30,Tabla_Ventas[[#This Row],[TIPO DE CLIENTE/ Customer type]]="Member"),"PARTICIPA","NO PARTICIPA")</f>
        <v>PARTICIPA</v>
      </c>
    </row>
    <row r="671" spans="1:12" ht="19" x14ac:dyDescent="0.25">
      <c r="A671" s="45">
        <v>689169784</v>
      </c>
      <c r="B671" s="46" t="s">
        <v>12</v>
      </c>
      <c r="C671" s="46" t="s">
        <v>18</v>
      </c>
      <c r="D671" s="46" t="s">
        <v>24</v>
      </c>
      <c r="E671" s="47">
        <v>46.77</v>
      </c>
      <c r="F671" s="48">
        <v>6</v>
      </c>
      <c r="G671" s="78">
        <f t="shared" si="10"/>
        <v>280.62</v>
      </c>
      <c r="H671" s="120">
        <v>43478</v>
      </c>
      <c r="I671" s="50">
        <v>0.56736111111111109</v>
      </c>
      <c r="J671" s="46" t="s">
        <v>23</v>
      </c>
      <c r="K671" s="51">
        <v>6</v>
      </c>
      <c r="L671" s="122" t="str">
        <f>IF(AND(Tabla_Ventas[[#This Row],[VENTA TOTAL]]&gt;=30,Tabla_Ventas[[#This Row],[TIPO DE CLIENTE/ Customer type]]="Member"),"PARTICIPA","NO PARTICIPA")</f>
        <v>NO PARTICIPA</v>
      </c>
    </row>
    <row r="672" spans="1:12" ht="19" x14ac:dyDescent="0.25">
      <c r="A672" s="45">
        <v>305183552</v>
      </c>
      <c r="B672" s="46" t="s">
        <v>16</v>
      </c>
      <c r="C672" s="46" t="s">
        <v>13</v>
      </c>
      <c r="D672" s="46" t="s">
        <v>25</v>
      </c>
      <c r="E672" s="47">
        <v>60.38</v>
      </c>
      <c r="F672" s="48">
        <v>10</v>
      </c>
      <c r="G672" s="78">
        <f t="shared" si="10"/>
        <v>603.80000000000007</v>
      </c>
      <c r="H672" s="120">
        <v>43801</v>
      </c>
      <c r="I672" s="50">
        <v>0.67986111111111114</v>
      </c>
      <c r="J672" s="46" t="s">
        <v>23</v>
      </c>
      <c r="K672" s="51">
        <v>6</v>
      </c>
      <c r="L672" s="122" t="str">
        <f>IF(AND(Tabla_Ventas[[#This Row],[VENTA TOTAL]]&gt;=30,Tabla_Ventas[[#This Row],[TIPO DE CLIENTE/ Customer type]]="Member"),"PARTICIPA","NO PARTICIPA")</f>
        <v>PARTICIPA</v>
      </c>
    </row>
    <row r="673" spans="1:12" ht="19" x14ac:dyDescent="0.25">
      <c r="A673" s="45">
        <v>541488554</v>
      </c>
      <c r="B673" s="46" t="s">
        <v>19</v>
      </c>
      <c r="C673" s="46" t="s">
        <v>18</v>
      </c>
      <c r="D673" s="46" t="s">
        <v>14</v>
      </c>
      <c r="E673" s="47">
        <v>60.95</v>
      </c>
      <c r="F673" s="48">
        <v>9</v>
      </c>
      <c r="G673" s="78">
        <f t="shared" si="10"/>
        <v>548.55000000000007</v>
      </c>
      <c r="H673" s="120">
        <v>43472</v>
      </c>
      <c r="I673" s="50">
        <v>0.50555555555555554</v>
      </c>
      <c r="J673" s="46" t="s">
        <v>15</v>
      </c>
      <c r="K673" s="51">
        <v>6</v>
      </c>
      <c r="L673" s="122" t="str">
        <f>IF(AND(Tabla_Ventas[[#This Row],[VENTA TOTAL]]&gt;=30,Tabla_Ventas[[#This Row],[TIPO DE CLIENTE/ Customer type]]="Member"),"PARTICIPA","NO PARTICIPA")</f>
        <v>NO PARTICIPA</v>
      </c>
    </row>
    <row r="674" spans="1:12" ht="19" x14ac:dyDescent="0.25">
      <c r="A674" s="45">
        <v>610464100</v>
      </c>
      <c r="B674" s="46" t="s">
        <v>19</v>
      </c>
      <c r="C674" s="46" t="s">
        <v>18</v>
      </c>
      <c r="D674" s="46" t="s">
        <v>20</v>
      </c>
      <c r="E674" s="49">
        <v>28.95</v>
      </c>
      <c r="F674" s="48">
        <v>7</v>
      </c>
      <c r="G674" s="78">
        <f t="shared" si="10"/>
        <v>202.65</v>
      </c>
      <c r="H674" s="120">
        <v>43527</v>
      </c>
      <c r="I674" s="50">
        <v>0.85486111111111107</v>
      </c>
      <c r="J674" s="46" t="s">
        <v>15</v>
      </c>
      <c r="K674" s="51">
        <v>6</v>
      </c>
      <c r="L674" s="122" t="str">
        <f>IF(AND(Tabla_Ventas[[#This Row],[VENTA TOTAL]]&gt;=30,Tabla_Ventas[[#This Row],[TIPO DE CLIENTE/ Customer type]]="Member"),"PARTICIPA","NO PARTICIPA")</f>
        <v>NO PARTICIPA</v>
      </c>
    </row>
    <row r="675" spans="1:12" ht="19" x14ac:dyDescent="0.25">
      <c r="A675" s="45">
        <v>794322436</v>
      </c>
      <c r="B675" s="46" t="s">
        <v>12</v>
      </c>
      <c r="C675" s="46" t="s">
        <v>13</v>
      </c>
      <c r="D675" s="46" t="s">
        <v>21</v>
      </c>
      <c r="E675" s="49">
        <v>55.67</v>
      </c>
      <c r="F675" s="48">
        <v>2</v>
      </c>
      <c r="G675" s="78">
        <f t="shared" si="10"/>
        <v>111.34</v>
      </c>
      <c r="H675" s="120">
        <v>43551</v>
      </c>
      <c r="I675" s="50">
        <v>0.63055555555555554</v>
      </c>
      <c r="J675" s="46" t="s">
        <v>17</v>
      </c>
      <c r="K675" s="51">
        <v>6</v>
      </c>
      <c r="L675" s="122" t="str">
        <f>IF(AND(Tabla_Ventas[[#This Row],[VENTA TOTAL]]&gt;=30,Tabla_Ventas[[#This Row],[TIPO DE CLIENTE/ Customer type]]="Member"),"PARTICIPA","NO PARTICIPA")</f>
        <v>PARTICIPA</v>
      </c>
    </row>
    <row r="676" spans="1:12" ht="19" x14ac:dyDescent="0.25">
      <c r="A676" s="45">
        <v>274055470</v>
      </c>
      <c r="B676" s="46" t="s">
        <v>19</v>
      </c>
      <c r="C676" s="46" t="s">
        <v>13</v>
      </c>
      <c r="D676" s="46" t="s">
        <v>24</v>
      </c>
      <c r="E676" s="49">
        <v>73.47</v>
      </c>
      <c r="F676" s="48">
        <v>4</v>
      </c>
      <c r="G676" s="78">
        <f t="shared" si="10"/>
        <v>293.88</v>
      </c>
      <c r="H676" s="120">
        <v>43519</v>
      </c>
      <c r="I676" s="50">
        <v>0.77083333333333337</v>
      </c>
      <c r="J676" s="46" t="s">
        <v>23</v>
      </c>
      <c r="K676" s="51">
        <v>6</v>
      </c>
      <c r="L676" s="122" t="str">
        <f>IF(AND(Tabla_Ventas[[#This Row],[VENTA TOTAL]]&gt;=30,Tabla_Ventas[[#This Row],[TIPO DE CLIENTE/ Customer type]]="Member"),"PARTICIPA","NO PARTICIPA")</f>
        <v>PARTICIPA</v>
      </c>
    </row>
    <row r="677" spans="1:12" ht="19" x14ac:dyDescent="0.25">
      <c r="A677" s="45">
        <v>268203585</v>
      </c>
      <c r="B677" s="46" t="s">
        <v>16</v>
      </c>
      <c r="C677" s="46" t="s">
        <v>18</v>
      </c>
      <c r="D677" s="46" t="s">
        <v>20</v>
      </c>
      <c r="E677" s="49">
        <v>13.85</v>
      </c>
      <c r="F677" s="48">
        <v>9</v>
      </c>
      <c r="G677" s="78">
        <f t="shared" si="10"/>
        <v>124.64999999999999</v>
      </c>
      <c r="H677" s="120">
        <v>43500</v>
      </c>
      <c r="I677" s="50">
        <v>0.53472222222222221</v>
      </c>
      <c r="J677" s="46" t="s">
        <v>17</v>
      </c>
      <c r="K677" s="51">
        <v>6</v>
      </c>
      <c r="L677" s="122" t="str">
        <f>IF(AND(Tabla_Ventas[[#This Row],[VENTA TOTAL]]&gt;=30,Tabla_Ventas[[#This Row],[TIPO DE CLIENTE/ Customer type]]="Member"),"PARTICIPA","NO PARTICIPA")</f>
        <v>NO PARTICIPA</v>
      </c>
    </row>
    <row r="678" spans="1:12" ht="19" x14ac:dyDescent="0.25">
      <c r="A678" s="45">
        <v>607652441</v>
      </c>
      <c r="B678" s="46" t="s">
        <v>16</v>
      </c>
      <c r="C678" s="46" t="s">
        <v>13</v>
      </c>
      <c r="D678" s="46" t="s">
        <v>20</v>
      </c>
      <c r="E678" s="49">
        <v>81.95</v>
      </c>
      <c r="F678" s="48">
        <v>10</v>
      </c>
      <c r="G678" s="78">
        <f t="shared" si="10"/>
        <v>819.5</v>
      </c>
      <c r="H678" s="120">
        <v>43534</v>
      </c>
      <c r="I678" s="50">
        <v>0.52708333333333335</v>
      </c>
      <c r="J678" s="46" t="s">
        <v>15</v>
      </c>
      <c r="K678" s="51">
        <v>6</v>
      </c>
      <c r="L678" s="122" t="str">
        <f>IF(AND(Tabla_Ventas[[#This Row],[VENTA TOTAL]]&gt;=30,Tabla_Ventas[[#This Row],[TIPO DE CLIENTE/ Customer type]]="Member"),"PARTICIPA","NO PARTICIPA")</f>
        <v>PARTICIPA</v>
      </c>
    </row>
    <row r="679" spans="1:12" ht="19" x14ac:dyDescent="0.25">
      <c r="A679" s="45">
        <v>197777132</v>
      </c>
      <c r="B679" s="46" t="s">
        <v>12</v>
      </c>
      <c r="C679" s="46" t="s">
        <v>13</v>
      </c>
      <c r="D679" s="46" t="s">
        <v>21</v>
      </c>
      <c r="E679" s="49">
        <v>91.56</v>
      </c>
      <c r="F679" s="48">
        <v>8</v>
      </c>
      <c r="G679" s="78">
        <f t="shared" si="10"/>
        <v>732.48</v>
      </c>
      <c r="H679" s="120">
        <v>43477</v>
      </c>
      <c r="I679" s="50">
        <v>0.76527777777777783</v>
      </c>
      <c r="J679" s="46" t="s">
        <v>17</v>
      </c>
      <c r="K679" s="51">
        <v>6</v>
      </c>
      <c r="L679" s="122" t="str">
        <f>IF(AND(Tabla_Ventas[[#This Row],[VENTA TOTAL]]&gt;=30,Tabla_Ventas[[#This Row],[TIPO DE CLIENTE/ Customer type]]="Member"),"PARTICIPA","NO PARTICIPA")</f>
        <v>PARTICIPA</v>
      </c>
    </row>
    <row r="680" spans="1:12" ht="19" x14ac:dyDescent="0.25">
      <c r="A680" s="45">
        <v>200165952</v>
      </c>
      <c r="B680" s="46" t="s">
        <v>16</v>
      </c>
      <c r="C680" s="46" t="s">
        <v>13</v>
      </c>
      <c r="D680" s="46" t="s">
        <v>24</v>
      </c>
      <c r="E680" s="49">
        <v>65.650000000000006</v>
      </c>
      <c r="F680" s="48">
        <v>2</v>
      </c>
      <c r="G680" s="78">
        <f t="shared" si="10"/>
        <v>131.30000000000001</v>
      </c>
      <c r="H680" s="120">
        <v>43482</v>
      </c>
      <c r="I680" s="50">
        <v>0.69861111111111107</v>
      </c>
      <c r="J680" s="46" t="s">
        <v>23</v>
      </c>
      <c r="K680" s="51">
        <v>6</v>
      </c>
      <c r="L680" s="122" t="str">
        <f>IF(AND(Tabla_Ventas[[#This Row],[VENTA TOTAL]]&gt;=30,Tabla_Ventas[[#This Row],[TIPO DE CLIENTE/ Customer type]]="Member"),"PARTICIPA","NO PARTICIPA")</f>
        <v>PARTICIPA</v>
      </c>
    </row>
    <row r="681" spans="1:12" ht="19" x14ac:dyDescent="0.25">
      <c r="A681" s="45">
        <v>189552313</v>
      </c>
      <c r="B681" s="46" t="s">
        <v>16</v>
      </c>
      <c r="C681" s="46" t="s">
        <v>18</v>
      </c>
      <c r="D681" s="46" t="s">
        <v>22</v>
      </c>
      <c r="E681" s="49">
        <v>62.18</v>
      </c>
      <c r="F681" s="48">
        <v>10</v>
      </c>
      <c r="G681" s="78">
        <f t="shared" si="10"/>
        <v>621.79999999999995</v>
      </c>
      <c r="H681" s="120">
        <v>43496</v>
      </c>
      <c r="I681" s="50">
        <v>0.43958333333333338</v>
      </c>
      <c r="J681" s="46" t="s">
        <v>17</v>
      </c>
      <c r="K681" s="51">
        <v>6</v>
      </c>
      <c r="L681" s="122" t="str">
        <f>IF(AND(Tabla_Ventas[[#This Row],[VENTA TOTAL]]&gt;=30,Tabla_Ventas[[#This Row],[TIPO DE CLIENTE/ Customer type]]="Member"),"PARTICIPA","NO PARTICIPA")</f>
        <v>NO PARTICIPA</v>
      </c>
    </row>
    <row r="682" spans="1:12" ht="19" x14ac:dyDescent="0.25">
      <c r="A682" s="45">
        <v>674566360</v>
      </c>
      <c r="B682" s="46" t="s">
        <v>19</v>
      </c>
      <c r="C682" s="46" t="s">
        <v>18</v>
      </c>
      <c r="D682" s="46" t="s">
        <v>21</v>
      </c>
      <c r="E682" s="49">
        <v>95.15</v>
      </c>
      <c r="F682" s="48">
        <v>1</v>
      </c>
      <c r="G682" s="78">
        <f t="shared" si="10"/>
        <v>95.15</v>
      </c>
      <c r="H682" s="120">
        <v>43519</v>
      </c>
      <c r="I682" s="50">
        <v>0.58333333333333337</v>
      </c>
      <c r="J682" s="46" t="s">
        <v>23</v>
      </c>
      <c r="K682" s="51">
        <v>6</v>
      </c>
      <c r="L682" s="122" t="str">
        <f>IF(AND(Tabla_Ventas[[#This Row],[VENTA TOTAL]]&gt;=30,Tabla_Ventas[[#This Row],[TIPO DE CLIENTE/ Customer type]]="Member"),"PARTICIPA","NO PARTICIPA")</f>
        <v>NO PARTICIPA</v>
      </c>
    </row>
    <row r="683" spans="1:12" ht="19" x14ac:dyDescent="0.25">
      <c r="A683" s="45">
        <v>190593964</v>
      </c>
      <c r="B683" s="46" t="s">
        <v>12</v>
      </c>
      <c r="C683" s="46" t="s">
        <v>13</v>
      </c>
      <c r="D683" s="46" t="s">
        <v>24</v>
      </c>
      <c r="E683" s="49">
        <v>47.16</v>
      </c>
      <c r="F683" s="48">
        <v>5</v>
      </c>
      <c r="G683" s="78">
        <f t="shared" si="10"/>
        <v>235.79999999999998</v>
      </c>
      <c r="H683" s="120">
        <v>43499</v>
      </c>
      <c r="I683" s="50">
        <v>0.60763888888888895</v>
      </c>
      <c r="J683" s="46" t="s">
        <v>15</v>
      </c>
      <c r="K683" s="51">
        <v>6</v>
      </c>
      <c r="L683" s="122" t="str">
        <f>IF(AND(Tabla_Ventas[[#This Row],[VENTA TOTAL]]&gt;=30,Tabla_Ventas[[#This Row],[TIPO DE CLIENTE/ Customer type]]="Member"),"PARTICIPA","NO PARTICIPA")</f>
        <v>PARTICIPA</v>
      </c>
    </row>
    <row r="684" spans="1:12" ht="19" x14ac:dyDescent="0.25">
      <c r="A684" s="45">
        <v>291591384</v>
      </c>
      <c r="B684" s="46" t="s">
        <v>12</v>
      </c>
      <c r="C684" s="46" t="s">
        <v>18</v>
      </c>
      <c r="D684" s="46" t="s">
        <v>21</v>
      </c>
      <c r="E684" s="49">
        <v>60.3</v>
      </c>
      <c r="F684" s="48">
        <v>1</v>
      </c>
      <c r="G684" s="78">
        <f t="shared" si="10"/>
        <v>60.3</v>
      </c>
      <c r="H684" s="120">
        <v>43524</v>
      </c>
      <c r="I684" s="50">
        <v>0.73472222222222217</v>
      </c>
      <c r="J684" s="46" t="s">
        <v>23</v>
      </c>
      <c r="K684" s="51">
        <v>6</v>
      </c>
      <c r="L684" s="122" t="str">
        <f>IF(AND(Tabla_Ventas[[#This Row],[VENTA TOTAL]]&gt;=30,Tabla_Ventas[[#This Row],[TIPO DE CLIENTE/ Customer type]]="Member"),"PARTICIPA","NO PARTICIPA")</f>
        <v>NO PARTICIPA</v>
      </c>
    </row>
    <row r="685" spans="1:12" ht="19" x14ac:dyDescent="0.25">
      <c r="A685" s="45">
        <v>490950021</v>
      </c>
      <c r="B685" s="46" t="s">
        <v>12</v>
      </c>
      <c r="C685" s="46" t="s">
        <v>13</v>
      </c>
      <c r="D685" s="46" t="s">
        <v>24</v>
      </c>
      <c r="E685" s="49">
        <v>33.21</v>
      </c>
      <c r="F685" s="48">
        <v>10</v>
      </c>
      <c r="G685" s="78">
        <f t="shared" si="10"/>
        <v>332.1</v>
      </c>
      <c r="H685" s="120">
        <v>43473</v>
      </c>
      <c r="I685" s="50">
        <v>0.60069444444444442</v>
      </c>
      <c r="J685" s="46" t="s">
        <v>17</v>
      </c>
      <c r="K685" s="51">
        <v>6</v>
      </c>
      <c r="L685" s="122" t="str">
        <f>IF(AND(Tabla_Ventas[[#This Row],[VENTA TOTAL]]&gt;=30,Tabla_Ventas[[#This Row],[TIPO DE CLIENTE/ Customer type]]="Member"),"PARTICIPA","NO PARTICIPA")</f>
        <v>PARTICIPA</v>
      </c>
    </row>
    <row r="686" spans="1:12" ht="19" x14ac:dyDescent="0.25">
      <c r="A686" s="45">
        <v>545078534</v>
      </c>
      <c r="B686" s="46" t="s">
        <v>16</v>
      </c>
      <c r="C686" s="46" t="s">
        <v>18</v>
      </c>
      <c r="D686" s="46" t="s">
        <v>20</v>
      </c>
      <c r="E686" s="49">
        <v>58.32</v>
      </c>
      <c r="F686" s="48">
        <v>2</v>
      </c>
      <c r="G686" s="78">
        <f t="shared" si="10"/>
        <v>116.64</v>
      </c>
      <c r="H686" s="120">
        <v>43510</v>
      </c>
      <c r="I686" s="50">
        <v>0.52916666666666667</v>
      </c>
      <c r="J686" s="46" t="s">
        <v>17</v>
      </c>
      <c r="K686" s="51">
        <v>6</v>
      </c>
      <c r="L686" s="122" t="str">
        <f>IF(AND(Tabla_Ventas[[#This Row],[VENTA TOTAL]]&gt;=30,Tabla_Ventas[[#This Row],[TIPO DE CLIENTE/ Customer type]]="Member"),"PARTICIPA","NO PARTICIPA")</f>
        <v>NO PARTICIPA</v>
      </c>
    </row>
    <row r="687" spans="1:12" ht="19" x14ac:dyDescent="0.25">
      <c r="A687" s="45">
        <v>189405216</v>
      </c>
      <c r="B687" s="46" t="s">
        <v>16</v>
      </c>
      <c r="C687" s="46" t="s">
        <v>18</v>
      </c>
      <c r="D687" s="46" t="s">
        <v>21</v>
      </c>
      <c r="E687" s="49">
        <v>96.37</v>
      </c>
      <c r="F687" s="48">
        <v>7</v>
      </c>
      <c r="G687" s="78">
        <f t="shared" si="10"/>
        <v>674.59</v>
      </c>
      <c r="H687" s="120">
        <v>43474</v>
      </c>
      <c r="I687" s="50">
        <v>0.4861111111111111</v>
      </c>
      <c r="J687" s="46" t="s">
        <v>23</v>
      </c>
      <c r="K687" s="51">
        <v>6</v>
      </c>
      <c r="L687" s="122" t="str">
        <f>IF(AND(Tabla_Ventas[[#This Row],[VENTA TOTAL]]&gt;=30,Tabla_Ventas[[#This Row],[TIPO DE CLIENTE/ Customer type]]="Member"),"PARTICIPA","NO PARTICIPA")</f>
        <v>NO PARTICIPA</v>
      </c>
    </row>
    <row r="688" spans="1:12" ht="19" x14ac:dyDescent="0.25">
      <c r="A688" s="45">
        <v>602166955</v>
      </c>
      <c r="B688" s="46" t="s">
        <v>12</v>
      </c>
      <c r="C688" s="46" t="s">
        <v>18</v>
      </c>
      <c r="D688" s="46" t="s">
        <v>14</v>
      </c>
      <c r="E688" s="49">
        <v>76.599999999999994</v>
      </c>
      <c r="F688" s="48">
        <v>10</v>
      </c>
      <c r="G688" s="78">
        <f t="shared" si="10"/>
        <v>766</v>
      </c>
      <c r="H688" s="120">
        <v>43489</v>
      </c>
      <c r="I688" s="50">
        <v>0.75694444444444453</v>
      </c>
      <c r="J688" s="46" t="s">
        <v>17</v>
      </c>
      <c r="K688" s="51">
        <v>6</v>
      </c>
      <c r="L688" s="122" t="str">
        <f>IF(AND(Tabla_Ventas[[#This Row],[VENTA TOTAL]]&gt;=30,Tabla_Ventas[[#This Row],[TIPO DE CLIENTE/ Customer type]]="Member"),"PARTICIPA","NO PARTICIPA")</f>
        <v>NO PARTICIPA</v>
      </c>
    </row>
    <row r="689" spans="1:12" ht="19" x14ac:dyDescent="0.25">
      <c r="A689" s="45">
        <v>692925582</v>
      </c>
      <c r="B689" s="46" t="s">
        <v>16</v>
      </c>
      <c r="C689" s="46" t="s">
        <v>13</v>
      </c>
      <c r="D689" s="46" t="s">
        <v>24</v>
      </c>
      <c r="E689" s="47">
        <v>54.84</v>
      </c>
      <c r="F689" s="48">
        <v>3</v>
      </c>
      <c r="G689" s="78">
        <f t="shared" si="10"/>
        <v>164.52</v>
      </c>
      <c r="H689" s="120">
        <v>43516</v>
      </c>
      <c r="I689" s="50">
        <v>0.56041666666666667</v>
      </c>
      <c r="J689" s="46" t="s">
        <v>15</v>
      </c>
      <c r="K689" s="51">
        <v>5.9</v>
      </c>
      <c r="L689" s="122" t="str">
        <f>IF(AND(Tabla_Ventas[[#This Row],[VENTA TOTAL]]&gt;=30,Tabla_Ventas[[#This Row],[TIPO DE CLIENTE/ Customer type]]="Member"),"PARTICIPA","NO PARTICIPA")</f>
        <v>PARTICIPA</v>
      </c>
    </row>
    <row r="690" spans="1:12" ht="19" x14ac:dyDescent="0.25">
      <c r="A690" s="45">
        <v>796122025</v>
      </c>
      <c r="B690" s="46" t="s">
        <v>12</v>
      </c>
      <c r="C690" s="46" t="s">
        <v>18</v>
      </c>
      <c r="D690" s="46" t="s">
        <v>22</v>
      </c>
      <c r="E690" s="47">
        <v>62.12</v>
      </c>
      <c r="F690" s="48">
        <v>10</v>
      </c>
      <c r="G690" s="78">
        <f t="shared" si="10"/>
        <v>621.19999999999993</v>
      </c>
      <c r="H690" s="120">
        <v>43771</v>
      </c>
      <c r="I690" s="50">
        <v>0.67986111111111114</v>
      </c>
      <c r="J690" s="46" t="s">
        <v>23</v>
      </c>
      <c r="K690" s="51">
        <v>5.9</v>
      </c>
      <c r="L690" s="122" t="str">
        <f>IF(AND(Tabla_Ventas[[#This Row],[VENTA TOTAL]]&gt;=30,Tabla_Ventas[[#This Row],[TIPO DE CLIENTE/ Customer type]]="Member"),"PARTICIPA","NO PARTICIPA")</f>
        <v>NO PARTICIPA</v>
      </c>
    </row>
    <row r="691" spans="1:12" ht="19" x14ac:dyDescent="0.25">
      <c r="A691" s="45">
        <v>189089157</v>
      </c>
      <c r="B691" s="46" t="s">
        <v>12</v>
      </c>
      <c r="C691" s="46" t="s">
        <v>18</v>
      </c>
      <c r="D691" s="46" t="s">
        <v>22</v>
      </c>
      <c r="E691" s="47">
        <v>31.73</v>
      </c>
      <c r="F691" s="48">
        <v>9</v>
      </c>
      <c r="G691" s="78">
        <f t="shared" si="10"/>
        <v>285.57</v>
      </c>
      <c r="H691" s="120">
        <v>43678</v>
      </c>
      <c r="I691" s="50">
        <v>0.67847222222222225</v>
      </c>
      <c r="J691" s="46" t="s">
        <v>15</v>
      </c>
      <c r="K691" s="51">
        <v>5.9</v>
      </c>
      <c r="L691" s="122" t="str">
        <f>IF(AND(Tabla_Ventas[[#This Row],[VENTA TOTAL]]&gt;=30,Tabla_Ventas[[#This Row],[TIPO DE CLIENTE/ Customer type]]="Member"),"PARTICIPA","NO PARTICIPA")</f>
        <v>NO PARTICIPA</v>
      </c>
    </row>
    <row r="692" spans="1:12" ht="19" x14ac:dyDescent="0.25">
      <c r="A692" s="45">
        <v>548469322</v>
      </c>
      <c r="B692" s="46" t="s">
        <v>16</v>
      </c>
      <c r="C692" s="46" t="s">
        <v>18</v>
      </c>
      <c r="D692" s="46" t="s">
        <v>24</v>
      </c>
      <c r="E692" s="47">
        <v>39.9</v>
      </c>
      <c r="F692" s="48">
        <v>10</v>
      </c>
      <c r="G692" s="78">
        <f t="shared" si="10"/>
        <v>399</v>
      </c>
      <c r="H692" s="120">
        <v>43516</v>
      </c>
      <c r="I692" s="50">
        <v>0.64166666666666672</v>
      </c>
      <c r="J692" s="46" t="s">
        <v>15</v>
      </c>
      <c r="K692" s="51">
        <v>5.9</v>
      </c>
      <c r="L692" s="122" t="str">
        <f>IF(AND(Tabla_Ventas[[#This Row],[VENTA TOTAL]]&gt;=30,Tabla_Ventas[[#This Row],[TIPO DE CLIENTE/ Customer type]]="Member"),"PARTICIPA","NO PARTICIPA")</f>
        <v>NO PARTICIPA</v>
      </c>
    </row>
    <row r="693" spans="1:12" ht="19" x14ac:dyDescent="0.25">
      <c r="A693" s="45">
        <v>593651552</v>
      </c>
      <c r="B693" s="46" t="s">
        <v>12</v>
      </c>
      <c r="C693" s="46" t="s">
        <v>18</v>
      </c>
      <c r="D693" s="46" t="s">
        <v>25</v>
      </c>
      <c r="E693" s="47">
        <v>69.81</v>
      </c>
      <c r="F693" s="48">
        <v>4</v>
      </c>
      <c r="G693" s="78">
        <f t="shared" si="10"/>
        <v>279.24</v>
      </c>
      <c r="H693" s="120">
        <v>43493</v>
      </c>
      <c r="I693" s="50">
        <v>0.86805555555555547</v>
      </c>
      <c r="J693" s="46" t="s">
        <v>15</v>
      </c>
      <c r="K693" s="51">
        <v>5.9</v>
      </c>
      <c r="L693" s="122" t="str">
        <f>IF(AND(Tabla_Ventas[[#This Row],[VENTA TOTAL]]&gt;=30,Tabla_Ventas[[#This Row],[TIPO DE CLIENTE/ Customer type]]="Member"),"PARTICIPA","NO PARTICIPA")</f>
        <v>NO PARTICIPA</v>
      </c>
    </row>
    <row r="694" spans="1:12" ht="19" x14ac:dyDescent="0.25">
      <c r="A694" s="45">
        <v>888020338</v>
      </c>
      <c r="B694" s="46" t="s">
        <v>19</v>
      </c>
      <c r="C694" s="46" t="s">
        <v>18</v>
      </c>
      <c r="D694" s="46" t="s">
        <v>21</v>
      </c>
      <c r="E694" s="47">
        <v>26.23</v>
      </c>
      <c r="F694" s="48">
        <v>9</v>
      </c>
      <c r="G694" s="78">
        <f t="shared" si="10"/>
        <v>236.07</v>
      </c>
      <c r="H694" s="120">
        <v>43490</v>
      </c>
      <c r="I694" s="50">
        <v>0.85</v>
      </c>
      <c r="J694" s="46" t="s">
        <v>17</v>
      </c>
      <c r="K694" s="51">
        <v>5.9</v>
      </c>
      <c r="L694" s="122" t="str">
        <f>IF(AND(Tabla_Ventas[[#This Row],[VENTA TOTAL]]&gt;=30,Tabla_Ventas[[#This Row],[TIPO DE CLIENTE/ Customer type]]="Member"),"PARTICIPA","NO PARTICIPA")</f>
        <v>NO PARTICIPA</v>
      </c>
    </row>
    <row r="695" spans="1:12" ht="19" x14ac:dyDescent="0.25">
      <c r="A695" s="45">
        <v>585035943</v>
      </c>
      <c r="B695" s="46" t="s">
        <v>16</v>
      </c>
      <c r="C695" s="46" t="s">
        <v>18</v>
      </c>
      <c r="D695" s="46" t="s">
        <v>20</v>
      </c>
      <c r="E695" s="47">
        <v>18.11</v>
      </c>
      <c r="F695" s="48">
        <v>10</v>
      </c>
      <c r="G695" s="78">
        <f t="shared" si="10"/>
        <v>181.1</v>
      </c>
      <c r="H695" s="120">
        <v>43537</v>
      </c>
      <c r="I695" s="50">
        <v>0.49027777777777781</v>
      </c>
      <c r="J695" s="46" t="s">
        <v>17</v>
      </c>
      <c r="K695" s="51">
        <v>5.9</v>
      </c>
      <c r="L695" s="122" t="str">
        <f>IF(AND(Tabla_Ventas[[#This Row],[VENTA TOTAL]]&gt;=30,Tabla_Ventas[[#This Row],[TIPO DE CLIENTE/ Customer type]]="Member"),"PARTICIPA","NO PARTICIPA")</f>
        <v>NO PARTICIPA</v>
      </c>
    </row>
    <row r="696" spans="1:12" ht="19" x14ac:dyDescent="0.25">
      <c r="A696" s="45">
        <v>609818548</v>
      </c>
      <c r="B696" s="46" t="s">
        <v>19</v>
      </c>
      <c r="C696" s="46" t="s">
        <v>13</v>
      </c>
      <c r="D696" s="46" t="s">
        <v>25</v>
      </c>
      <c r="E696" s="47">
        <v>37.44</v>
      </c>
      <c r="F696" s="48">
        <v>6</v>
      </c>
      <c r="G696" s="78">
        <f t="shared" si="10"/>
        <v>224.64</v>
      </c>
      <c r="H696" s="120">
        <v>43618</v>
      </c>
      <c r="I696" s="50">
        <v>0.57986111111111105</v>
      </c>
      <c r="J696" s="46" t="s">
        <v>15</v>
      </c>
      <c r="K696" s="51">
        <v>5.9</v>
      </c>
      <c r="L696" s="122" t="str">
        <f>IF(AND(Tabla_Ventas[[#This Row],[VENTA TOTAL]]&gt;=30,Tabla_Ventas[[#This Row],[TIPO DE CLIENTE/ Customer type]]="Member"),"PARTICIPA","NO PARTICIPA")</f>
        <v>PARTICIPA</v>
      </c>
    </row>
    <row r="697" spans="1:12" ht="19" x14ac:dyDescent="0.25">
      <c r="A697" s="45">
        <v>816728853</v>
      </c>
      <c r="B697" s="46" t="s">
        <v>19</v>
      </c>
      <c r="C697" s="46" t="s">
        <v>13</v>
      </c>
      <c r="D697" s="46" t="s">
        <v>14</v>
      </c>
      <c r="E697" s="49">
        <v>27.93</v>
      </c>
      <c r="F697" s="48">
        <v>5</v>
      </c>
      <c r="G697" s="78">
        <f t="shared" si="10"/>
        <v>139.65</v>
      </c>
      <c r="H697" s="120">
        <v>43494</v>
      </c>
      <c r="I697" s="50">
        <v>0.65833333333333333</v>
      </c>
      <c r="J697" s="46" t="s">
        <v>23</v>
      </c>
      <c r="K697" s="51">
        <v>5.9</v>
      </c>
      <c r="L697" s="122" t="str">
        <f>IF(AND(Tabla_Ventas[[#This Row],[VENTA TOTAL]]&gt;=30,Tabla_Ventas[[#This Row],[TIPO DE CLIENTE/ Customer type]]="Member"),"PARTICIPA","NO PARTICIPA")</f>
        <v>PARTICIPA</v>
      </c>
    </row>
    <row r="698" spans="1:12" ht="19" x14ac:dyDescent="0.25">
      <c r="A698" s="45">
        <v>725672480</v>
      </c>
      <c r="B698" s="46" t="s">
        <v>12</v>
      </c>
      <c r="C698" s="46" t="s">
        <v>13</v>
      </c>
      <c r="D698" s="46" t="s">
        <v>22</v>
      </c>
      <c r="E698" s="49">
        <v>58.75</v>
      </c>
      <c r="F698" s="48">
        <v>6</v>
      </c>
      <c r="G698" s="78">
        <f t="shared" si="10"/>
        <v>352.5</v>
      </c>
      <c r="H698" s="120">
        <v>43548</v>
      </c>
      <c r="I698" s="50">
        <v>0.7597222222222223</v>
      </c>
      <c r="J698" s="46" t="s">
        <v>15</v>
      </c>
      <c r="K698" s="51">
        <v>5.9</v>
      </c>
      <c r="L698" s="122" t="str">
        <f>IF(AND(Tabla_Ventas[[#This Row],[VENTA TOTAL]]&gt;=30,Tabla_Ventas[[#This Row],[TIPO DE CLIENTE/ Customer type]]="Member"),"PARTICIPA","NO PARTICIPA")</f>
        <v>PARTICIPA</v>
      </c>
    </row>
    <row r="699" spans="1:12" ht="19" x14ac:dyDescent="0.25">
      <c r="A699" s="45">
        <v>442446497</v>
      </c>
      <c r="B699" s="46" t="s">
        <v>16</v>
      </c>
      <c r="C699" s="46" t="s">
        <v>13</v>
      </c>
      <c r="D699" s="46" t="s">
        <v>25</v>
      </c>
      <c r="E699" s="49">
        <v>55.57</v>
      </c>
      <c r="F699" s="48">
        <v>3</v>
      </c>
      <c r="G699" s="78">
        <f t="shared" si="10"/>
        <v>166.71</v>
      </c>
      <c r="H699" s="120">
        <v>43473</v>
      </c>
      <c r="I699" s="50">
        <v>0.48749999999999999</v>
      </c>
      <c r="J699" s="46" t="s">
        <v>15</v>
      </c>
      <c r="K699" s="51">
        <v>5.9</v>
      </c>
      <c r="L699" s="122" t="str">
        <f>IF(AND(Tabla_Ventas[[#This Row],[VENTA TOTAL]]&gt;=30,Tabla_Ventas[[#This Row],[TIPO DE CLIENTE/ Customer type]]="Member"),"PARTICIPA","NO PARTICIPA")</f>
        <v>PARTICIPA</v>
      </c>
    </row>
    <row r="700" spans="1:12" ht="19" x14ac:dyDescent="0.25">
      <c r="A700" s="45">
        <v>784219238</v>
      </c>
      <c r="B700" s="46" t="s">
        <v>16</v>
      </c>
      <c r="C700" s="46" t="s">
        <v>13</v>
      </c>
      <c r="D700" s="46" t="s">
        <v>14</v>
      </c>
      <c r="E700" s="49">
        <v>10.17</v>
      </c>
      <c r="F700" s="48">
        <v>1</v>
      </c>
      <c r="G700" s="78">
        <f t="shared" si="10"/>
        <v>10.17</v>
      </c>
      <c r="H700" s="120">
        <v>43503</v>
      </c>
      <c r="I700" s="50">
        <v>0.59375</v>
      </c>
      <c r="J700" s="46" t="s">
        <v>23</v>
      </c>
      <c r="K700" s="51">
        <v>5.9</v>
      </c>
      <c r="L700" s="122" t="str">
        <f>IF(AND(Tabla_Ventas[[#This Row],[VENTA TOTAL]]&gt;=30,Tabla_Ventas[[#This Row],[TIPO DE CLIENTE/ Customer type]]="Member"),"PARTICIPA","NO PARTICIPA")</f>
        <v>NO PARTICIPA</v>
      </c>
    </row>
    <row r="701" spans="1:12" ht="19" x14ac:dyDescent="0.25">
      <c r="A701" s="45">
        <v>896340956</v>
      </c>
      <c r="B701" s="46" t="s">
        <v>19</v>
      </c>
      <c r="C701" s="46" t="s">
        <v>18</v>
      </c>
      <c r="D701" s="46" t="s">
        <v>22</v>
      </c>
      <c r="E701" s="49">
        <v>21.32</v>
      </c>
      <c r="F701" s="48">
        <v>1</v>
      </c>
      <c r="G701" s="78">
        <f t="shared" si="10"/>
        <v>21.32</v>
      </c>
      <c r="H701" s="120">
        <v>43491</v>
      </c>
      <c r="I701" s="50">
        <v>0.52986111111111112</v>
      </c>
      <c r="J701" s="46" t="s">
        <v>23</v>
      </c>
      <c r="K701" s="51">
        <v>5.9</v>
      </c>
      <c r="L701" s="122" t="str">
        <f>IF(AND(Tabla_Ventas[[#This Row],[VENTA TOTAL]]&gt;=30,Tabla_Ventas[[#This Row],[TIPO DE CLIENTE/ Customer type]]="Member"),"PARTICIPA","NO PARTICIPA")</f>
        <v>NO PARTICIPA</v>
      </c>
    </row>
    <row r="702" spans="1:12" ht="19" x14ac:dyDescent="0.25">
      <c r="A702" s="45">
        <v>804383935</v>
      </c>
      <c r="B702" s="46" t="s">
        <v>19</v>
      </c>
      <c r="C702" s="46" t="s">
        <v>13</v>
      </c>
      <c r="D702" s="46" t="s">
        <v>21</v>
      </c>
      <c r="E702" s="49">
        <v>93.78</v>
      </c>
      <c r="F702" s="48">
        <v>3</v>
      </c>
      <c r="G702" s="78">
        <f t="shared" si="10"/>
        <v>281.34000000000003</v>
      </c>
      <c r="H702" s="120">
        <v>43495</v>
      </c>
      <c r="I702" s="50">
        <v>0.48055555555555557</v>
      </c>
      <c r="J702" s="46" t="s">
        <v>15</v>
      </c>
      <c r="K702" s="51">
        <v>5.9</v>
      </c>
      <c r="L702" s="122" t="str">
        <f>IF(AND(Tabla_Ventas[[#This Row],[VENTA TOTAL]]&gt;=30,Tabla_Ventas[[#This Row],[TIPO DE CLIENTE/ Customer type]]="Member"),"PARTICIPA","NO PARTICIPA")</f>
        <v>PARTICIPA</v>
      </c>
    </row>
    <row r="703" spans="1:12" ht="19" x14ac:dyDescent="0.25">
      <c r="A703" s="45">
        <v>737885876</v>
      </c>
      <c r="B703" s="46" t="s">
        <v>19</v>
      </c>
      <c r="C703" s="46" t="s">
        <v>13</v>
      </c>
      <c r="D703" s="46" t="s">
        <v>25</v>
      </c>
      <c r="E703" s="49">
        <v>23.29</v>
      </c>
      <c r="F703" s="48">
        <v>4</v>
      </c>
      <c r="G703" s="78">
        <f t="shared" si="10"/>
        <v>93.16</v>
      </c>
      <c r="H703" s="120">
        <v>43543</v>
      </c>
      <c r="I703" s="50">
        <v>0.49444444444444446</v>
      </c>
      <c r="J703" s="46" t="s">
        <v>15</v>
      </c>
      <c r="K703" s="51">
        <v>5.9</v>
      </c>
      <c r="L703" s="122" t="str">
        <f>IF(AND(Tabla_Ventas[[#This Row],[VENTA TOTAL]]&gt;=30,Tabla_Ventas[[#This Row],[TIPO DE CLIENTE/ Customer type]]="Member"),"PARTICIPA","NO PARTICIPA")</f>
        <v>PARTICIPA</v>
      </c>
    </row>
    <row r="704" spans="1:12" ht="19" x14ac:dyDescent="0.25">
      <c r="A704" s="45">
        <v>500022261</v>
      </c>
      <c r="B704" s="46" t="s">
        <v>16</v>
      </c>
      <c r="C704" s="46" t="s">
        <v>18</v>
      </c>
      <c r="D704" s="46" t="s">
        <v>24</v>
      </c>
      <c r="E704" s="49">
        <v>57.29</v>
      </c>
      <c r="F704" s="48">
        <v>6</v>
      </c>
      <c r="G704" s="78">
        <f t="shared" si="10"/>
        <v>343.74</v>
      </c>
      <c r="H704" s="120">
        <v>43488</v>
      </c>
      <c r="I704" s="50">
        <v>0.71111111111111114</v>
      </c>
      <c r="J704" s="46" t="s">
        <v>17</v>
      </c>
      <c r="K704" s="51">
        <v>5.9</v>
      </c>
      <c r="L704" s="122" t="str">
        <f>IF(AND(Tabla_Ventas[[#This Row],[VENTA TOTAL]]&gt;=30,Tabla_Ventas[[#This Row],[TIPO DE CLIENTE/ Customer type]]="Member"),"PARTICIPA","NO PARTICIPA")</f>
        <v>NO PARTICIPA</v>
      </c>
    </row>
    <row r="705" spans="1:12" ht="19" x14ac:dyDescent="0.25">
      <c r="A705" s="45">
        <v>652496720</v>
      </c>
      <c r="B705" s="46" t="s">
        <v>16</v>
      </c>
      <c r="C705" s="46" t="s">
        <v>13</v>
      </c>
      <c r="D705" s="46" t="s">
        <v>21</v>
      </c>
      <c r="E705" s="49">
        <v>60.95</v>
      </c>
      <c r="F705" s="48">
        <v>1</v>
      </c>
      <c r="G705" s="78">
        <f t="shared" si="10"/>
        <v>60.95</v>
      </c>
      <c r="H705" s="120">
        <v>43514</v>
      </c>
      <c r="I705" s="50">
        <v>0.4861111111111111</v>
      </c>
      <c r="J705" s="46" t="s">
        <v>17</v>
      </c>
      <c r="K705" s="51">
        <v>5.9</v>
      </c>
      <c r="L705" s="122" t="str">
        <f>IF(AND(Tabla_Ventas[[#This Row],[VENTA TOTAL]]&gt;=30,Tabla_Ventas[[#This Row],[TIPO DE CLIENTE/ Customer type]]="Member"),"PARTICIPA","NO PARTICIPA")</f>
        <v>PARTICIPA</v>
      </c>
    </row>
    <row r="706" spans="1:12" ht="19" x14ac:dyDescent="0.25">
      <c r="A706" s="45">
        <v>355535943</v>
      </c>
      <c r="B706" s="46" t="s">
        <v>19</v>
      </c>
      <c r="C706" s="46" t="s">
        <v>13</v>
      </c>
      <c r="D706" s="46" t="s">
        <v>21</v>
      </c>
      <c r="E706" s="47">
        <v>68.84</v>
      </c>
      <c r="F706" s="48">
        <v>6</v>
      </c>
      <c r="G706" s="78">
        <f t="shared" si="10"/>
        <v>413.04</v>
      </c>
      <c r="H706" s="120">
        <v>43521</v>
      </c>
      <c r="I706" s="50">
        <v>0.60833333333333328</v>
      </c>
      <c r="J706" s="46" t="s">
        <v>17</v>
      </c>
      <c r="K706" s="51">
        <v>5.8</v>
      </c>
      <c r="L706" s="122" t="str">
        <f>IF(AND(Tabla_Ventas[[#This Row],[VENTA TOTAL]]&gt;=30,Tabla_Ventas[[#This Row],[TIPO DE CLIENTE/ Customer type]]="Member"),"PARTICIPA","NO PARTICIPA")</f>
        <v>PARTICIPA</v>
      </c>
    </row>
    <row r="707" spans="1:12" ht="19" x14ac:dyDescent="0.25">
      <c r="A707" s="45">
        <v>106356779</v>
      </c>
      <c r="B707" s="46" t="s">
        <v>19</v>
      </c>
      <c r="C707" s="46" t="s">
        <v>13</v>
      </c>
      <c r="D707" s="46" t="s">
        <v>25</v>
      </c>
      <c r="E707" s="47">
        <v>44.34</v>
      </c>
      <c r="F707" s="48">
        <v>2</v>
      </c>
      <c r="G707" s="78">
        <f t="shared" si="10"/>
        <v>88.68</v>
      </c>
      <c r="H707" s="120">
        <v>43551</v>
      </c>
      <c r="I707" s="50">
        <v>0.47638888888888892</v>
      </c>
      <c r="J707" s="46" t="s">
        <v>23</v>
      </c>
      <c r="K707" s="51">
        <v>5.8</v>
      </c>
      <c r="L707" s="122" t="str">
        <f>IF(AND(Tabla_Ventas[[#This Row],[VENTA TOTAL]]&gt;=30,Tabla_Ventas[[#This Row],[TIPO DE CLIENTE/ Customer type]]="Member"),"PARTICIPA","NO PARTICIPA")</f>
        <v>PARTICIPA</v>
      </c>
    </row>
    <row r="708" spans="1:12" ht="19" x14ac:dyDescent="0.25">
      <c r="A708" s="45">
        <v>877223308</v>
      </c>
      <c r="B708" s="46" t="s">
        <v>19</v>
      </c>
      <c r="C708" s="46" t="s">
        <v>13</v>
      </c>
      <c r="D708" s="46" t="s">
        <v>20</v>
      </c>
      <c r="E708" s="47">
        <v>15.87</v>
      </c>
      <c r="F708" s="48">
        <v>10</v>
      </c>
      <c r="G708" s="78">
        <f t="shared" ref="G708:G771" si="11">F708*E708</f>
        <v>158.69999999999999</v>
      </c>
      <c r="H708" s="120">
        <v>43537</v>
      </c>
      <c r="I708" s="50">
        <v>0.69444444444444453</v>
      </c>
      <c r="J708" s="46" t="s">
        <v>23</v>
      </c>
      <c r="K708" s="51">
        <v>5.8</v>
      </c>
      <c r="L708" s="122" t="str">
        <f>IF(AND(Tabla_Ventas[[#This Row],[VENTA TOTAL]]&gt;=30,Tabla_Ventas[[#This Row],[TIPO DE CLIENTE/ Customer type]]="Member"),"PARTICIPA","NO PARTICIPA")</f>
        <v>PARTICIPA</v>
      </c>
    </row>
    <row r="709" spans="1:12" ht="19" x14ac:dyDescent="0.25">
      <c r="A709" s="45">
        <v>448815016</v>
      </c>
      <c r="B709" s="46" t="s">
        <v>19</v>
      </c>
      <c r="C709" s="46" t="s">
        <v>18</v>
      </c>
      <c r="D709" s="46" t="s">
        <v>20</v>
      </c>
      <c r="E709" s="47">
        <v>59.77</v>
      </c>
      <c r="F709" s="48">
        <v>2</v>
      </c>
      <c r="G709" s="78">
        <f t="shared" si="11"/>
        <v>119.54</v>
      </c>
      <c r="H709" s="120">
        <v>43478</v>
      </c>
      <c r="I709" s="50">
        <v>0.50069444444444444</v>
      </c>
      <c r="J709" s="46" t="s">
        <v>15</v>
      </c>
      <c r="K709" s="51">
        <v>5.8</v>
      </c>
      <c r="L709" s="122" t="str">
        <f>IF(AND(Tabla_Ventas[[#This Row],[VENTA TOTAL]]&gt;=30,Tabla_Ventas[[#This Row],[TIPO DE CLIENTE/ Customer type]]="Member"),"PARTICIPA","NO PARTICIPA")</f>
        <v>NO PARTICIPA</v>
      </c>
    </row>
    <row r="710" spans="1:12" ht="19" x14ac:dyDescent="0.25">
      <c r="A710" s="45">
        <v>744025987</v>
      </c>
      <c r="B710" s="46" t="s">
        <v>19</v>
      </c>
      <c r="C710" s="46" t="s">
        <v>13</v>
      </c>
      <c r="D710" s="46" t="s">
        <v>25</v>
      </c>
      <c r="E710" s="47">
        <v>78.38</v>
      </c>
      <c r="F710" s="48">
        <v>6</v>
      </c>
      <c r="G710" s="78">
        <f t="shared" si="11"/>
        <v>470.28</v>
      </c>
      <c r="H710" s="120">
        <v>43739</v>
      </c>
      <c r="I710" s="50">
        <v>0.59444444444444444</v>
      </c>
      <c r="J710" s="46" t="s">
        <v>17</v>
      </c>
      <c r="K710" s="51">
        <v>5.8</v>
      </c>
      <c r="L710" s="122" t="str">
        <f>IF(AND(Tabla_Ventas[[#This Row],[VENTA TOTAL]]&gt;=30,Tabla_Ventas[[#This Row],[TIPO DE CLIENTE/ Customer type]]="Member"),"PARTICIPA","NO PARTICIPA")</f>
        <v>PARTICIPA</v>
      </c>
    </row>
    <row r="711" spans="1:12" ht="19" x14ac:dyDescent="0.25">
      <c r="A711" s="45">
        <v>525887307</v>
      </c>
      <c r="B711" s="46" t="s">
        <v>16</v>
      </c>
      <c r="C711" s="46" t="s">
        <v>13</v>
      </c>
      <c r="D711" s="46" t="s">
        <v>14</v>
      </c>
      <c r="E711" s="47">
        <v>75.819999999999993</v>
      </c>
      <c r="F711" s="48">
        <v>1</v>
      </c>
      <c r="G711" s="78">
        <f t="shared" si="11"/>
        <v>75.819999999999993</v>
      </c>
      <c r="H711" s="120">
        <v>43496</v>
      </c>
      <c r="I711" s="50">
        <v>0.55486111111111114</v>
      </c>
      <c r="J711" s="46" t="s">
        <v>23</v>
      </c>
      <c r="K711" s="51">
        <v>5.8</v>
      </c>
      <c r="L711" s="122" t="str">
        <f>IF(AND(Tabla_Ventas[[#This Row],[VENTA TOTAL]]&gt;=30,Tabla_Ventas[[#This Row],[TIPO DE CLIENTE/ Customer type]]="Member"),"PARTICIPA","NO PARTICIPA")</f>
        <v>PARTICIPA</v>
      </c>
    </row>
    <row r="712" spans="1:12" ht="19" x14ac:dyDescent="0.25">
      <c r="A712" s="45">
        <v>760541821</v>
      </c>
      <c r="B712" s="46" t="s">
        <v>16</v>
      </c>
      <c r="C712" s="46" t="s">
        <v>18</v>
      </c>
      <c r="D712" s="46" t="s">
        <v>25</v>
      </c>
      <c r="E712" s="47">
        <v>13.59</v>
      </c>
      <c r="F712" s="48">
        <v>9</v>
      </c>
      <c r="G712" s="78">
        <f t="shared" si="11"/>
        <v>122.31</v>
      </c>
      <c r="H712" s="120">
        <v>43539</v>
      </c>
      <c r="I712" s="50">
        <v>0.43472222222222223</v>
      </c>
      <c r="J712" s="46" t="s">
        <v>23</v>
      </c>
      <c r="K712" s="51">
        <v>5.8</v>
      </c>
      <c r="L712" s="122" t="str">
        <f>IF(AND(Tabla_Ventas[[#This Row],[VENTA TOTAL]]&gt;=30,Tabla_Ventas[[#This Row],[TIPO DE CLIENTE/ Customer type]]="Member"),"PARTICIPA","NO PARTICIPA")</f>
        <v>NO PARTICIPA</v>
      </c>
    </row>
    <row r="713" spans="1:12" ht="19" x14ac:dyDescent="0.25">
      <c r="A713" s="45">
        <v>458610011</v>
      </c>
      <c r="B713" s="46" t="s">
        <v>16</v>
      </c>
      <c r="C713" s="46" t="s">
        <v>18</v>
      </c>
      <c r="D713" s="46" t="s">
        <v>24</v>
      </c>
      <c r="E713" s="47">
        <v>60.3</v>
      </c>
      <c r="F713" s="48">
        <v>4</v>
      </c>
      <c r="G713" s="78">
        <f t="shared" si="11"/>
        <v>241.2</v>
      </c>
      <c r="H713" s="120">
        <v>43516</v>
      </c>
      <c r="I713" s="50">
        <v>0.77986111111111101</v>
      </c>
      <c r="J713" s="46" t="s">
        <v>23</v>
      </c>
      <c r="K713" s="51">
        <v>5.8</v>
      </c>
      <c r="L713" s="122" t="str">
        <f>IF(AND(Tabla_Ventas[[#This Row],[VENTA TOTAL]]&gt;=30,Tabla_Ventas[[#This Row],[TIPO DE CLIENTE/ Customer type]]="Member"),"PARTICIPA","NO PARTICIPA")</f>
        <v>NO PARTICIPA</v>
      </c>
    </row>
    <row r="714" spans="1:12" ht="19" x14ac:dyDescent="0.25">
      <c r="A714" s="45">
        <v>169524504</v>
      </c>
      <c r="B714" s="46" t="s">
        <v>19</v>
      </c>
      <c r="C714" s="46" t="s">
        <v>18</v>
      </c>
      <c r="D714" s="46" t="s">
        <v>21</v>
      </c>
      <c r="E714" s="49">
        <v>15.69</v>
      </c>
      <c r="F714" s="48">
        <v>3</v>
      </c>
      <c r="G714" s="78">
        <f t="shared" si="11"/>
        <v>47.07</v>
      </c>
      <c r="H714" s="120">
        <v>43538</v>
      </c>
      <c r="I714" s="50">
        <v>0.59236111111111112</v>
      </c>
      <c r="J714" s="46" t="s">
        <v>15</v>
      </c>
      <c r="K714" s="51">
        <v>5.8</v>
      </c>
      <c r="L714" s="122" t="str">
        <f>IF(AND(Tabla_Ventas[[#This Row],[VENTA TOTAL]]&gt;=30,Tabla_Ventas[[#This Row],[TIPO DE CLIENTE/ Customer type]]="Member"),"PARTICIPA","NO PARTICIPA")</f>
        <v>NO PARTICIPA</v>
      </c>
    </row>
    <row r="715" spans="1:12" ht="19" x14ac:dyDescent="0.25">
      <c r="A715" s="45">
        <v>664142882</v>
      </c>
      <c r="B715" s="46" t="s">
        <v>16</v>
      </c>
      <c r="C715" s="46" t="s">
        <v>13</v>
      </c>
      <c r="D715" s="46" t="s">
        <v>25</v>
      </c>
      <c r="E715" s="49">
        <v>10.53</v>
      </c>
      <c r="F715" s="48">
        <v>5</v>
      </c>
      <c r="G715" s="78">
        <f t="shared" si="11"/>
        <v>52.65</v>
      </c>
      <c r="H715" s="120">
        <v>43495</v>
      </c>
      <c r="I715" s="50">
        <v>0.61319444444444449</v>
      </c>
      <c r="J715" s="46" t="s">
        <v>15</v>
      </c>
      <c r="K715" s="51">
        <v>5.8</v>
      </c>
      <c r="L715" s="122" t="str">
        <f>IF(AND(Tabla_Ventas[[#This Row],[VENTA TOTAL]]&gt;=30,Tabla_Ventas[[#This Row],[TIPO DE CLIENTE/ Customer type]]="Member"),"PARTICIPA","NO PARTICIPA")</f>
        <v>PARTICIPA</v>
      </c>
    </row>
    <row r="716" spans="1:12" ht="19" x14ac:dyDescent="0.25">
      <c r="A716" s="45">
        <v>807343742</v>
      </c>
      <c r="B716" s="46" t="s">
        <v>19</v>
      </c>
      <c r="C716" s="46" t="s">
        <v>18</v>
      </c>
      <c r="D716" s="46" t="s">
        <v>22</v>
      </c>
      <c r="E716" s="49">
        <v>52.38</v>
      </c>
      <c r="F716" s="48">
        <v>1</v>
      </c>
      <c r="G716" s="78">
        <f t="shared" si="11"/>
        <v>52.38</v>
      </c>
      <c r="H716" s="120">
        <v>43550</v>
      </c>
      <c r="I716" s="50">
        <v>0.8222222222222223</v>
      </c>
      <c r="J716" s="46" t="s">
        <v>23</v>
      </c>
      <c r="K716" s="51">
        <v>5.8</v>
      </c>
      <c r="L716" s="122" t="str">
        <f>IF(AND(Tabla_Ventas[[#This Row],[VENTA TOTAL]]&gt;=30,Tabla_Ventas[[#This Row],[TIPO DE CLIENTE/ Customer type]]="Member"),"PARTICIPA","NO PARTICIPA")</f>
        <v>NO PARTICIPA</v>
      </c>
    </row>
    <row r="717" spans="1:12" ht="19" x14ac:dyDescent="0.25">
      <c r="A717" s="45">
        <v>660297083</v>
      </c>
      <c r="B717" s="46" t="s">
        <v>16</v>
      </c>
      <c r="C717" s="46" t="s">
        <v>18</v>
      </c>
      <c r="D717" s="46" t="s">
        <v>21</v>
      </c>
      <c r="E717" s="49">
        <v>55.87</v>
      </c>
      <c r="F717" s="48">
        <v>10</v>
      </c>
      <c r="G717" s="78">
        <f t="shared" si="11"/>
        <v>558.69999999999993</v>
      </c>
      <c r="H717" s="120">
        <v>43480</v>
      </c>
      <c r="I717" s="50">
        <v>0.62569444444444444</v>
      </c>
      <c r="J717" s="46" t="s">
        <v>23</v>
      </c>
      <c r="K717" s="51">
        <v>5.8</v>
      </c>
      <c r="L717" s="122" t="str">
        <f>IF(AND(Tabla_Ventas[[#This Row],[VENTA TOTAL]]&gt;=30,Tabla_Ventas[[#This Row],[TIPO DE CLIENTE/ Customer type]]="Member"),"PARTICIPA","NO PARTICIPA")</f>
        <v>NO PARTICIPA</v>
      </c>
    </row>
    <row r="718" spans="1:12" ht="19" x14ac:dyDescent="0.25">
      <c r="A718" s="45">
        <v>459452396</v>
      </c>
      <c r="B718" s="46" t="s">
        <v>19</v>
      </c>
      <c r="C718" s="46" t="s">
        <v>13</v>
      </c>
      <c r="D718" s="46" t="s">
        <v>24</v>
      </c>
      <c r="E718" s="49">
        <v>99.6</v>
      </c>
      <c r="F718" s="48">
        <v>3</v>
      </c>
      <c r="G718" s="78">
        <f t="shared" si="11"/>
        <v>298.79999999999995</v>
      </c>
      <c r="H718" s="120">
        <v>43521</v>
      </c>
      <c r="I718" s="50">
        <v>0.78125</v>
      </c>
      <c r="J718" s="46" t="s">
        <v>23</v>
      </c>
      <c r="K718" s="51">
        <v>5.8</v>
      </c>
      <c r="L718" s="122" t="str">
        <f>IF(AND(Tabla_Ventas[[#This Row],[VENTA TOTAL]]&gt;=30,Tabla_Ventas[[#This Row],[TIPO DE CLIENTE/ Customer type]]="Member"),"PARTICIPA","NO PARTICIPA")</f>
        <v>PARTICIPA</v>
      </c>
    </row>
    <row r="719" spans="1:12" ht="19" x14ac:dyDescent="0.25">
      <c r="A719" s="45">
        <v>172428274</v>
      </c>
      <c r="B719" s="46" t="s">
        <v>12</v>
      </c>
      <c r="C719" s="46" t="s">
        <v>18</v>
      </c>
      <c r="D719" s="46" t="s">
        <v>21</v>
      </c>
      <c r="E719" s="49">
        <v>38.270000000000003</v>
      </c>
      <c r="F719" s="48">
        <v>2</v>
      </c>
      <c r="G719" s="78">
        <f t="shared" si="11"/>
        <v>76.540000000000006</v>
      </c>
      <c r="H719" s="120">
        <v>43499</v>
      </c>
      <c r="I719" s="50">
        <v>0.76250000000000007</v>
      </c>
      <c r="J719" s="46" t="s">
        <v>15</v>
      </c>
      <c r="K719" s="51">
        <v>5.8</v>
      </c>
      <c r="L719" s="122" t="str">
        <f>IF(AND(Tabla_Ventas[[#This Row],[VENTA TOTAL]]&gt;=30,Tabla_Ventas[[#This Row],[TIPO DE CLIENTE/ Customer type]]="Member"),"PARTICIPA","NO PARTICIPA")</f>
        <v>NO PARTICIPA</v>
      </c>
    </row>
    <row r="720" spans="1:12" ht="19" x14ac:dyDescent="0.25">
      <c r="A720" s="45">
        <v>829343910</v>
      </c>
      <c r="B720" s="46" t="s">
        <v>19</v>
      </c>
      <c r="C720" s="46" t="s">
        <v>18</v>
      </c>
      <c r="D720" s="46" t="s">
        <v>20</v>
      </c>
      <c r="E720" s="47">
        <v>71.38</v>
      </c>
      <c r="F720" s="48">
        <v>10</v>
      </c>
      <c r="G720" s="78">
        <f t="shared" si="11"/>
        <v>713.8</v>
      </c>
      <c r="H720" s="120">
        <v>43553</v>
      </c>
      <c r="I720" s="50">
        <v>0.80625000000000002</v>
      </c>
      <c r="J720" s="46" t="s">
        <v>23</v>
      </c>
      <c r="K720" s="51">
        <v>5.7</v>
      </c>
      <c r="L720" s="122" t="str">
        <f>IF(AND(Tabla_Ventas[[#This Row],[VENTA TOTAL]]&gt;=30,Tabla_Ventas[[#This Row],[TIPO DE CLIENTE/ Customer type]]="Member"),"PARTICIPA","NO PARTICIPA")</f>
        <v>NO PARTICIPA</v>
      </c>
    </row>
    <row r="721" spans="1:12" ht="19" x14ac:dyDescent="0.25">
      <c r="A721" s="45">
        <v>381200914</v>
      </c>
      <c r="B721" s="46" t="s">
        <v>19</v>
      </c>
      <c r="C721" s="46" t="s">
        <v>13</v>
      </c>
      <c r="D721" s="46" t="s">
        <v>22</v>
      </c>
      <c r="E721" s="47">
        <v>20.010000000000002</v>
      </c>
      <c r="F721" s="48">
        <v>9</v>
      </c>
      <c r="G721" s="78">
        <f t="shared" si="11"/>
        <v>180.09</v>
      </c>
      <c r="H721" s="120">
        <v>43477</v>
      </c>
      <c r="I721" s="50">
        <v>0.65833333333333333</v>
      </c>
      <c r="J721" s="46" t="s">
        <v>15</v>
      </c>
      <c r="K721" s="51">
        <v>5.7</v>
      </c>
      <c r="L721" s="122" t="str">
        <f>IF(AND(Tabla_Ventas[[#This Row],[VENTA TOTAL]]&gt;=30,Tabla_Ventas[[#This Row],[TIPO DE CLIENTE/ Customer type]]="Member"),"PARTICIPA","NO PARTICIPA")</f>
        <v>PARTICIPA</v>
      </c>
    </row>
    <row r="722" spans="1:12" ht="19" x14ac:dyDescent="0.25">
      <c r="A722" s="45">
        <v>504358843</v>
      </c>
      <c r="B722" s="46" t="s">
        <v>19</v>
      </c>
      <c r="C722" s="46" t="s">
        <v>18</v>
      </c>
      <c r="D722" s="46" t="s">
        <v>14</v>
      </c>
      <c r="E722" s="47">
        <v>42.47</v>
      </c>
      <c r="F722" s="48">
        <v>1</v>
      </c>
      <c r="G722" s="78">
        <f t="shared" si="11"/>
        <v>42.47</v>
      </c>
      <c r="H722" s="120">
        <v>43497</v>
      </c>
      <c r="I722" s="50">
        <v>0.70624999999999993</v>
      </c>
      <c r="J722" s="46" t="s">
        <v>23</v>
      </c>
      <c r="K722" s="51">
        <v>5.7</v>
      </c>
      <c r="L722" s="122" t="str">
        <f>IF(AND(Tabla_Ventas[[#This Row],[VENTA TOTAL]]&gt;=30,Tabla_Ventas[[#This Row],[TIPO DE CLIENTE/ Customer type]]="Member"),"PARTICIPA","NO PARTICIPA")</f>
        <v>NO PARTICIPA</v>
      </c>
    </row>
    <row r="723" spans="1:12" ht="19" x14ac:dyDescent="0.25">
      <c r="A723" s="45">
        <v>130988941</v>
      </c>
      <c r="B723" s="46" t="s">
        <v>12</v>
      </c>
      <c r="C723" s="46" t="s">
        <v>18</v>
      </c>
      <c r="D723" s="46" t="s">
        <v>22</v>
      </c>
      <c r="E723" s="47">
        <v>64.260000000000005</v>
      </c>
      <c r="F723" s="48">
        <v>7</v>
      </c>
      <c r="G723" s="78">
        <f t="shared" si="11"/>
        <v>449.82000000000005</v>
      </c>
      <c r="H723" s="120">
        <v>43710</v>
      </c>
      <c r="I723" s="50">
        <v>0.41666666666666669</v>
      </c>
      <c r="J723" s="46" t="s">
        <v>23</v>
      </c>
      <c r="K723" s="51">
        <v>5.7</v>
      </c>
      <c r="L723" s="122" t="str">
        <f>IF(AND(Tabla_Ventas[[#This Row],[VENTA TOTAL]]&gt;=30,Tabla_Ventas[[#This Row],[TIPO DE CLIENTE/ Customer type]]="Member"),"PARTICIPA","NO PARTICIPA")</f>
        <v>NO PARTICIPA</v>
      </c>
    </row>
    <row r="724" spans="1:12" ht="19" x14ac:dyDescent="0.25">
      <c r="A724" s="45">
        <v>824883614</v>
      </c>
      <c r="B724" s="46" t="s">
        <v>12</v>
      </c>
      <c r="C724" s="46" t="s">
        <v>18</v>
      </c>
      <c r="D724" s="46" t="s">
        <v>20</v>
      </c>
      <c r="E724" s="47">
        <v>34.31</v>
      </c>
      <c r="F724" s="48">
        <v>8</v>
      </c>
      <c r="G724" s="78">
        <f t="shared" si="11"/>
        <v>274.48</v>
      </c>
      <c r="H724" s="120">
        <v>43490</v>
      </c>
      <c r="I724" s="50">
        <v>0.625</v>
      </c>
      <c r="J724" s="46" t="s">
        <v>17</v>
      </c>
      <c r="K724" s="51">
        <v>5.7</v>
      </c>
      <c r="L724" s="122" t="str">
        <f>IF(AND(Tabla_Ventas[[#This Row],[VENTA TOTAL]]&gt;=30,Tabla_Ventas[[#This Row],[TIPO DE CLIENTE/ Customer type]]="Member"),"PARTICIPA","NO PARTICIPA")</f>
        <v>NO PARTICIPA</v>
      </c>
    </row>
    <row r="725" spans="1:12" ht="19" x14ac:dyDescent="0.25">
      <c r="A725" s="45">
        <v>641432399</v>
      </c>
      <c r="B725" s="46" t="s">
        <v>16</v>
      </c>
      <c r="C725" s="46" t="s">
        <v>18</v>
      </c>
      <c r="D725" s="46" t="s">
        <v>25</v>
      </c>
      <c r="E725" s="47">
        <v>25.55</v>
      </c>
      <c r="F725" s="48">
        <v>4</v>
      </c>
      <c r="G725" s="78">
        <f t="shared" si="11"/>
        <v>102.2</v>
      </c>
      <c r="H725" s="120">
        <v>43491</v>
      </c>
      <c r="I725" s="50">
        <v>0.84930555555555554</v>
      </c>
      <c r="J725" s="46" t="s">
        <v>17</v>
      </c>
      <c r="K725" s="51">
        <v>5.7</v>
      </c>
      <c r="L725" s="122" t="str">
        <f>IF(AND(Tabla_Ventas[[#This Row],[VENTA TOTAL]]&gt;=30,Tabla_Ventas[[#This Row],[TIPO DE CLIENTE/ Customer type]]="Member"),"PARTICIPA","NO PARTICIPA")</f>
        <v>NO PARTICIPA</v>
      </c>
    </row>
    <row r="726" spans="1:12" ht="19" x14ac:dyDescent="0.25">
      <c r="A726" s="45">
        <v>530909855</v>
      </c>
      <c r="B726" s="46" t="s">
        <v>19</v>
      </c>
      <c r="C726" s="46" t="s">
        <v>13</v>
      </c>
      <c r="D726" s="46" t="s">
        <v>25</v>
      </c>
      <c r="E726" s="47">
        <v>47.59</v>
      </c>
      <c r="F726" s="48">
        <v>8</v>
      </c>
      <c r="G726" s="78">
        <f t="shared" si="11"/>
        <v>380.72</v>
      </c>
      <c r="H726" s="120">
        <v>43466</v>
      </c>
      <c r="I726" s="50">
        <v>0.61597222222222225</v>
      </c>
      <c r="J726" s="46" t="s">
        <v>23</v>
      </c>
      <c r="K726" s="51">
        <v>5.7</v>
      </c>
      <c r="L726" s="122" t="str">
        <f>IF(AND(Tabla_Ventas[[#This Row],[VENTA TOTAL]]&gt;=30,Tabla_Ventas[[#This Row],[TIPO DE CLIENTE/ Customer type]]="Member"),"PARTICIPA","NO PARTICIPA")</f>
        <v>PARTICIPA</v>
      </c>
    </row>
    <row r="727" spans="1:12" ht="19" x14ac:dyDescent="0.25">
      <c r="A727" s="45">
        <v>655855130</v>
      </c>
      <c r="B727" s="46" t="s">
        <v>16</v>
      </c>
      <c r="C727" s="46" t="s">
        <v>13</v>
      </c>
      <c r="D727" s="46" t="s">
        <v>22</v>
      </c>
      <c r="E727" s="47">
        <v>38.299999999999997</v>
      </c>
      <c r="F727" s="48">
        <v>4</v>
      </c>
      <c r="G727" s="78">
        <f t="shared" si="11"/>
        <v>153.19999999999999</v>
      </c>
      <c r="H727" s="120">
        <v>43537</v>
      </c>
      <c r="I727" s="50">
        <v>0.80694444444444446</v>
      </c>
      <c r="J727" s="46" t="s">
        <v>23</v>
      </c>
      <c r="K727" s="51">
        <v>5.7</v>
      </c>
      <c r="L727" s="122" t="str">
        <f>IF(AND(Tabla_Ventas[[#This Row],[VENTA TOTAL]]&gt;=30,Tabla_Ventas[[#This Row],[TIPO DE CLIENTE/ Customer type]]="Member"),"PARTICIPA","NO PARTICIPA")</f>
        <v>PARTICIPA</v>
      </c>
    </row>
    <row r="728" spans="1:12" ht="19" x14ac:dyDescent="0.25">
      <c r="A728" s="45">
        <v>537720426</v>
      </c>
      <c r="B728" s="46" t="s">
        <v>12</v>
      </c>
      <c r="C728" s="46" t="s">
        <v>13</v>
      </c>
      <c r="D728" s="46" t="s">
        <v>22</v>
      </c>
      <c r="E728" s="47">
        <v>70.989999999999995</v>
      </c>
      <c r="F728" s="48">
        <v>10</v>
      </c>
      <c r="G728" s="78">
        <f t="shared" si="11"/>
        <v>709.9</v>
      </c>
      <c r="H728" s="120">
        <v>43544</v>
      </c>
      <c r="I728" s="50">
        <v>0.68611111111111101</v>
      </c>
      <c r="J728" s="46" t="s">
        <v>23</v>
      </c>
      <c r="K728" s="51">
        <v>5.7</v>
      </c>
      <c r="L728" s="122" t="str">
        <f>IF(AND(Tabla_Ventas[[#This Row],[VENTA TOTAL]]&gt;=30,Tabla_Ventas[[#This Row],[TIPO DE CLIENTE/ Customer type]]="Member"),"PARTICIPA","NO PARTICIPA")</f>
        <v>PARTICIPA</v>
      </c>
    </row>
    <row r="729" spans="1:12" ht="19" x14ac:dyDescent="0.25">
      <c r="A729" s="45">
        <v>574579721</v>
      </c>
      <c r="B729" s="46" t="s">
        <v>12</v>
      </c>
      <c r="C729" s="46" t="s">
        <v>18</v>
      </c>
      <c r="D729" s="46" t="s">
        <v>24</v>
      </c>
      <c r="E729" s="47">
        <v>43.27</v>
      </c>
      <c r="F729" s="48">
        <v>2</v>
      </c>
      <c r="G729" s="78">
        <f t="shared" si="11"/>
        <v>86.54</v>
      </c>
      <c r="H729" s="120">
        <v>43532</v>
      </c>
      <c r="I729" s="50">
        <v>0.70347222222222217</v>
      </c>
      <c r="J729" s="46" t="s">
        <v>17</v>
      </c>
      <c r="K729" s="51">
        <v>5.7</v>
      </c>
      <c r="L729" s="122" t="str">
        <f>IF(AND(Tabla_Ventas[[#This Row],[VENTA TOTAL]]&gt;=30,Tabla_Ventas[[#This Row],[TIPO DE CLIENTE/ Customer type]]="Member"),"PARTICIPA","NO PARTICIPA")</f>
        <v>NO PARTICIPA</v>
      </c>
    </row>
    <row r="730" spans="1:12" ht="19" x14ac:dyDescent="0.25">
      <c r="A730" s="45">
        <v>134544720</v>
      </c>
      <c r="B730" s="46" t="s">
        <v>16</v>
      </c>
      <c r="C730" s="46" t="s">
        <v>18</v>
      </c>
      <c r="D730" s="46" t="s">
        <v>21</v>
      </c>
      <c r="E730" s="47">
        <v>42.42</v>
      </c>
      <c r="F730" s="48">
        <v>8</v>
      </c>
      <c r="G730" s="78">
        <f t="shared" si="11"/>
        <v>339.36</v>
      </c>
      <c r="H730" s="120">
        <v>43495</v>
      </c>
      <c r="I730" s="50">
        <v>0.58194444444444449</v>
      </c>
      <c r="J730" s="46" t="s">
        <v>17</v>
      </c>
      <c r="K730" s="51">
        <v>5.7</v>
      </c>
      <c r="L730" s="122" t="str">
        <f>IF(AND(Tabla_Ventas[[#This Row],[VENTA TOTAL]]&gt;=30,Tabla_Ventas[[#This Row],[TIPO DE CLIENTE/ Customer type]]="Member"),"PARTICIPA","NO PARTICIPA")</f>
        <v>NO PARTICIPA</v>
      </c>
    </row>
    <row r="731" spans="1:12" ht="19" x14ac:dyDescent="0.25">
      <c r="A731" s="45">
        <v>201638275</v>
      </c>
      <c r="B731" s="46" t="s">
        <v>16</v>
      </c>
      <c r="C731" s="46" t="s">
        <v>13</v>
      </c>
      <c r="D731" s="46" t="s">
        <v>14</v>
      </c>
      <c r="E731" s="49">
        <v>67.989999999999995</v>
      </c>
      <c r="F731" s="48">
        <v>7</v>
      </c>
      <c r="G731" s="78">
        <f t="shared" si="11"/>
        <v>475.92999999999995</v>
      </c>
      <c r="H731" s="120">
        <v>43513</v>
      </c>
      <c r="I731" s="50">
        <v>0.70138888888888884</v>
      </c>
      <c r="J731" s="46" t="s">
        <v>17</v>
      </c>
      <c r="K731" s="51">
        <v>5.7</v>
      </c>
      <c r="L731" s="122" t="str">
        <f>IF(AND(Tabla_Ventas[[#This Row],[VENTA TOTAL]]&gt;=30,Tabla_Ventas[[#This Row],[TIPO DE CLIENTE/ Customer type]]="Member"),"PARTICIPA","NO PARTICIPA")</f>
        <v>PARTICIPA</v>
      </c>
    </row>
    <row r="732" spans="1:12" ht="19" x14ac:dyDescent="0.25">
      <c r="A732" s="45">
        <v>809699497</v>
      </c>
      <c r="B732" s="46" t="s">
        <v>19</v>
      </c>
      <c r="C732" s="46" t="s">
        <v>18</v>
      </c>
      <c r="D732" s="46" t="s">
        <v>25</v>
      </c>
      <c r="E732" s="49">
        <v>45.68</v>
      </c>
      <c r="F732" s="48">
        <v>10</v>
      </c>
      <c r="G732" s="78">
        <f t="shared" si="11"/>
        <v>456.8</v>
      </c>
      <c r="H732" s="120">
        <v>43484</v>
      </c>
      <c r="I732" s="50">
        <v>0.8125</v>
      </c>
      <c r="J732" s="46" t="s">
        <v>17</v>
      </c>
      <c r="K732" s="51">
        <v>5.7</v>
      </c>
      <c r="L732" s="122" t="str">
        <f>IF(AND(Tabla_Ventas[[#This Row],[VENTA TOTAL]]&gt;=30,Tabla_Ventas[[#This Row],[TIPO DE CLIENTE/ Customer type]]="Member"),"PARTICIPA","NO PARTICIPA")</f>
        <v>NO PARTICIPA</v>
      </c>
    </row>
    <row r="733" spans="1:12" ht="19" x14ac:dyDescent="0.25">
      <c r="A733" s="45">
        <v>200406154</v>
      </c>
      <c r="B733" s="46" t="s">
        <v>12</v>
      </c>
      <c r="C733" s="46" t="s">
        <v>13</v>
      </c>
      <c r="D733" s="46" t="s">
        <v>25</v>
      </c>
      <c r="E733" s="49">
        <v>65.91</v>
      </c>
      <c r="F733" s="48">
        <v>6</v>
      </c>
      <c r="G733" s="78">
        <f t="shared" si="11"/>
        <v>395.46</v>
      </c>
      <c r="H733" s="120">
        <v>43505</v>
      </c>
      <c r="I733" s="50">
        <v>0.48958333333333331</v>
      </c>
      <c r="J733" s="46" t="s">
        <v>23</v>
      </c>
      <c r="K733" s="51">
        <v>5.7</v>
      </c>
      <c r="L733" s="122" t="str">
        <f>IF(AND(Tabla_Ventas[[#This Row],[VENTA TOTAL]]&gt;=30,Tabla_Ventas[[#This Row],[TIPO DE CLIENTE/ Customer type]]="Member"),"PARTICIPA","NO PARTICIPA")</f>
        <v>PARTICIPA</v>
      </c>
    </row>
    <row r="734" spans="1:12" ht="19" x14ac:dyDescent="0.25">
      <c r="A734" s="45">
        <v>354255821</v>
      </c>
      <c r="B734" s="46" t="s">
        <v>16</v>
      </c>
      <c r="C734" s="46" t="s">
        <v>13</v>
      </c>
      <c r="D734" s="46" t="s">
        <v>14</v>
      </c>
      <c r="E734" s="47">
        <v>69.12</v>
      </c>
      <c r="F734" s="48">
        <v>6</v>
      </c>
      <c r="G734" s="78">
        <f t="shared" si="11"/>
        <v>414.72</v>
      </c>
      <c r="H734" s="120">
        <v>43679</v>
      </c>
      <c r="I734" s="50">
        <v>0.54375000000000007</v>
      </c>
      <c r="J734" s="46" t="s">
        <v>23</v>
      </c>
      <c r="K734" s="51">
        <v>5.6</v>
      </c>
      <c r="L734" s="122" t="str">
        <f>IF(AND(Tabla_Ventas[[#This Row],[VENTA TOTAL]]&gt;=30,Tabla_Ventas[[#This Row],[TIPO DE CLIENTE/ Customer type]]="Member"),"PARTICIPA","NO PARTICIPA")</f>
        <v>PARTICIPA</v>
      </c>
    </row>
    <row r="735" spans="1:12" ht="19" x14ac:dyDescent="0.25">
      <c r="A735" s="45">
        <v>568905112</v>
      </c>
      <c r="B735" s="46" t="s">
        <v>12</v>
      </c>
      <c r="C735" s="46" t="s">
        <v>18</v>
      </c>
      <c r="D735" s="46" t="s">
        <v>20</v>
      </c>
      <c r="E735" s="47">
        <v>66.14</v>
      </c>
      <c r="F735" s="48">
        <v>4</v>
      </c>
      <c r="G735" s="78">
        <f t="shared" si="11"/>
        <v>264.56</v>
      </c>
      <c r="H735" s="120">
        <v>43543</v>
      </c>
      <c r="I735" s="50">
        <v>0.53194444444444444</v>
      </c>
      <c r="J735" s="46" t="s">
        <v>15</v>
      </c>
      <c r="K735" s="51">
        <v>5.6</v>
      </c>
      <c r="L735" s="122" t="str">
        <f>IF(AND(Tabla_Ventas[[#This Row],[VENTA TOTAL]]&gt;=30,Tabla_Ventas[[#This Row],[TIPO DE CLIENTE/ Customer type]]="Member"),"PARTICIPA","NO PARTICIPA")</f>
        <v>NO PARTICIPA</v>
      </c>
    </row>
    <row r="736" spans="1:12" ht="19" x14ac:dyDescent="0.25">
      <c r="A736" s="45">
        <v>505020892</v>
      </c>
      <c r="B736" s="46" t="s">
        <v>16</v>
      </c>
      <c r="C736" s="46" t="s">
        <v>13</v>
      </c>
      <c r="D736" s="46" t="s">
        <v>20</v>
      </c>
      <c r="E736" s="47">
        <v>42.57</v>
      </c>
      <c r="F736" s="48">
        <v>8</v>
      </c>
      <c r="G736" s="78">
        <f t="shared" si="11"/>
        <v>340.56</v>
      </c>
      <c r="H736" s="120">
        <v>43521</v>
      </c>
      <c r="I736" s="50">
        <v>0.59166666666666667</v>
      </c>
      <c r="J736" s="46" t="s">
        <v>17</v>
      </c>
      <c r="K736" s="51">
        <v>5.6</v>
      </c>
      <c r="L736" s="122" t="str">
        <f>IF(AND(Tabla_Ventas[[#This Row],[VENTA TOTAL]]&gt;=30,Tabla_Ventas[[#This Row],[TIPO DE CLIENTE/ Customer type]]="Member"),"PARTICIPA","NO PARTICIPA")</f>
        <v>PARTICIPA</v>
      </c>
    </row>
    <row r="737" spans="1:12" ht="19" x14ac:dyDescent="0.25">
      <c r="A737" s="45">
        <v>540114336</v>
      </c>
      <c r="B737" s="46" t="s">
        <v>19</v>
      </c>
      <c r="C737" s="46" t="s">
        <v>18</v>
      </c>
      <c r="D737" s="46" t="s">
        <v>24</v>
      </c>
      <c r="E737" s="47">
        <v>24.94</v>
      </c>
      <c r="F737" s="48">
        <v>9</v>
      </c>
      <c r="G737" s="78">
        <f t="shared" si="11"/>
        <v>224.46</v>
      </c>
      <c r="H737" s="120">
        <v>43770</v>
      </c>
      <c r="I737" s="50">
        <v>0.7006944444444444</v>
      </c>
      <c r="J737" s="46" t="s">
        <v>15</v>
      </c>
      <c r="K737" s="51">
        <v>5.6</v>
      </c>
      <c r="L737" s="122" t="str">
        <f>IF(AND(Tabla_Ventas[[#This Row],[VENTA TOTAL]]&gt;=30,Tabla_Ventas[[#This Row],[TIPO DE CLIENTE/ Customer type]]="Member"),"PARTICIPA","NO PARTICIPA")</f>
        <v>NO PARTICIPA</v>
      </c>
    </row>
    <row r="738" spans="1:12" ht="19" x14ac:dyDescent="0.25">
      <c r="A738" s="45">
        <v>821073596</v>
      </c>
      <c r="B738" s="46" t="s">
        <v>12</v>
      </c>
      <c r="C738" s="46" t="s">
        <v>18</v>
      </c>
      <c r="D738" s="46" t="s">
        <v>22</v>
      </c>
      <c r="E738" s="47">
        <v>16.45</v>
      </c>
      <c r="F738" s="48">
        <v>4</v>
      </c>
      <c r="G738" s="78">
        <f t="shared" si="11"/>
        <v>65.8</v>
      </c>
      <c r="H738" s="120">
        <v>43531</v>
      </c>
      <c r="I738" s="50">
        <v>0.62013888888888891</v>
      </c>
      <c r="J738" s="46" t="s">
        <v>17</v>
      </c>
      <c r="K738" s="51">
        <v>5.6</v>
      </c>
      <c r="L738" s="122" t="str">
        <f>IF(AND(Tabla_Ventas[[#This Row],[VENTA TOTAL]]&gt;=30,Tabla_Ventas[[#This Row],[TIPO DE CLIENTE/ Customer type]]="Member"),"PARTICIPA","NO PARTICIPA")</f>
        <v>NO PARTICIPA</v>
      </c>
    </row>
    <row r="739" spans="1:12" ht="19" x14ac:dyDescent="0.25">
      <c r="A739" s="45">
        <v>578807669</v>
      </c>
      <c r="B739" s="46" t="s">
        <v>16</v>
      </c>
      <c r="C739" s="46" t="s">
        <v>18</v>
      </c>
      <c r="D739" s="46" t="s">
        <v>14</v>
      </c>
      <c r="E739" s="47">
        <v>74.97</v>
      </c>
      <c r="F739" s="48">
        <v>1</v>
      </c>
      <c r="G739" s="78">
        <f t="shared" si="11"/>
        <v>74.97</v>
      </c>
      <c r="H739" s="120">
        <v>43540</v>
      </c>
      <c r="I739" s="50">
        <v>0.70694444444444438</v>
      </c>
      <c r="J739" s="46" t="s">
        <v>23</v>
      </c>
      <c r="K739" s="51">
        <v>5.6</v>
      </c>
      <c r="L739" s="122" t="str">
        <f>IF(AND(Tabla_Ventas[[#This Row],[VENTA TOTAL]]&gt;=30,Tabla_Ventas[[#This Row],[TIPO DE CLIENTE/ Customer type]]="Member"),"PARTICIPA","NO PARTICIPA")</f>
        <v>NO PARTICIPA</v>
      </c>
    </row>
    <row r="740" spans="1:12" ht="19" x14ac:dyDescent="0.25">
      <c r="A740" s="45">
        <v>122619553</v>
      </c>
      <c r="B740" s="46" t="s">
        <v>12</v>
      </c>
      <c r="C740" s="46" t="s">
        <v>18</v>
      </c>
      <c r="D740" s="46" t="s">
        <v>21</v>
      </c>
      <c r="E740" s="47">
        <v>51.32</v>
      </c>
      <c r="F740" s="48">
        <v>9</v>
      </c>
      <c r="G740" s="78">
        <f t="shared" si="11"/>
        <v>461.88</v>
      </c>
      <c r="H740" s="120">
        <v>43538</v>
      </c>
      <c r="I740" s="50">
        <v>0.81458333333333333</v>
      </c>
      <c r="J740" s="46" t="s">
        <v>23</v>
      </c>
      <c r="K740" s="51">
        <v>5.6</v>
      </c>
      <c r="L740" s="122" t="str">
        <f>IF(AND(Tabla_Ventas[[#This Row],[VENTA TOTAL]]&gt;=30,Tabla_Ventas[[#This Row],[TIPO DE CLIENTE/ Customer type]]="Member"),"PARTICIPA","NO PARTICIPA")</f>
        <v>NO PARTICIPA</v>
      </c>
    </row>
    <row r="741" spans="1:12" ht="19" x14ac:dyDescent="0.25">
      <c r="A741" s="45">
        <v>712390363</v>
      </c>
      <c r="B741" s="46" t="s">
        <v>19</v>
      </c>
      <c r="C741" s="46" t="s">
        <v>13</v>
      </c>
      <c r="D741" s="46" t="s">
        <v>24</v>
      </c>
      <c r="E741" s="47">
        <v>41.66</v>
      </c>
      <c r="F741" s="48">
        <v>6</v>
      </c>
      <c r="G741" s="78">
        <f t="shared" si="11"/>
        <v>249.95999999999998</v>
      </c>
      <c r="H741" s="120">
        <v>43497</v>
      </c>
      <c r="I741" s="50">
        <v>0.64166666666666672</v>
      </c>
      <c r="J741" s="46" t="s">
        <v>17</v>
      </c>
      <c r="K741" s="51">
        <v>5.6</v>
      </c>
      <c r="L741" s="122" t="str">
        <f>IF(AND(Tabla_Ventas[[#This Row],[VENTA TOTAL]]&gt;=30,Tabla_Ventas[[#This Row],[TIPO DE CLIENTE/ Customer type]]="Member"),"PARTICIPA","NO PARTICIPA")</f>
        <v>PARTICIPA</v>
      </c>
    </row>
    <row r="742" spans="1:12" ht="19" x14ac:dyDescent="0.25">
      <c r="A742" s="45">
        <v>574318277</v>
      </c>
      <c r="B742" s="46" t="s">
        <v>12</v>
      </c>
      <c r="C742" s="46" t="s">
        <v>13</v>
      </c>
      <c r="D742" s="46" t="s">
        <v>22</v>
      </c>
      <c r="E742" s="49">
        <v>33.630000000000003</v>
      </c>
      <c r="F742" s="48">
        <v>1</v>
      </c>
      <c r="G742" s="78">
        <f t="shared" si="11"/>
        <v>33.630000000000003</v>
      </c>
      <c r="H742" s="120">
        <v>43544</v>
      </c>
      <c r="I742" s="50">
        <v>0.82986111111111116</v>
      </c>
      <c r="J742" s="46" t="s">
        <v>23</v>
      </c>
      <c r="K742" s="51">
        <v>5.6</v>
      </c>
      <c r="L742" s="122" t="str">
        <f>IF(AND(Tabla_Ventas[[#This Row],[VENTA TOTAL]]&gt;=30,Tabla_Ventas[[#This Row],[TIPO DE CLIENTE/ Customer type]]="Member"),"PARTICIPA","NO PARTICIPA")</f>
        <v>PARTICIPA</v>
      </c>
    </row>
    <row r="743" spans="1:12" ht="19" x14ac:dyDescent="0.25">
      <c r="A743" s="45">
        <v>345689016</v>
      </c>
      <c r="B743" s="46" t="s">
        <v>16</v>
      </c>
      <c r="C743" s="46" t="s">
        <v>13</v>
      </c>
      <c r="D743" s="46" t="s">
        <v>14</v>
      </c>
      <c r="E743" s="49">
        <v>31.67</v>
      </c>
      <c r="F743" s="48">
        <v>8</v>
      </c>
      <c r="G743" s="78">
        <f t="shared" si="11"/>
        <v>253.36</v>
      </c>
      <c r="H743" s="120">
        <v>43467</v>
      </c>
      <c r="I743" s="50">
        <v>0.67986111111111114</v>
      </c>
      <c r="J743" s="46" t="s">
        <v>15</v>
      </c>
      <c r="K743" s="51">
        <v>5.6</v>
      </c>
      <c r="L743" s="122" t="str">
        <f>IF(AND(Tabla_Ventas[[#This Row],[VENTA TOTAL]]&gt;=30,Tabla_Ventas[[#This Row],[TIPO DE CLIENTE/ Customer type]]="Member"),"PARTICIPA","NO PARTICIPA")</f>
        <v>PARTICIPA</v>
      </c>
    </row>
    <row r="744" spans="1:12" ht="19" x14ac:dyDescent="0.25">
      <c r="A744" s="45">
        <v>250175703</v>
      </c>
      <c r="B744" s="46" t="s">
        <v>19</v>
      </c>
      <c r="C744" s="46" t="s">
        <v>13</v>
      </c>
      <c r="D744" s="46" t="s">
        <v>24</v>
      </c>
      <c r="E744" s="49">
        <v>18.850000000000001</v>
      </c>
      <c r="F744" s="48">
        <v>10</v>
      </c>
      <c r="G744" s="78">
        <f t="shared" si="11"/>
        <v>188.5</v>
      </c>
      <c r="H744" s="120">
        <v>43523</v>
      </c>
      <c r="I744" s="50">
        <v>0.76666666666666661</v>
      </c>
      <c r="J744" s="46" t="s">
        <v>17</v>
      </c>
      <c r="K744" s="51">
        <v>5.6</v>
      </c>
      <c r="L744" s="122" t="str">
        <f>IF(AND(Tabla_Ventas[[#This Row],[VENTA TOTAL]]&gt;=30,Tabla_Ventas[[#This Row],[TIPO DE CLIENTE/ Customer type]]="Member"),"PARTICIPA","NO PARTICIPA")</f>
        <v>PARTICIPA</v>
      </c>
    </row>
    <row r="745" spans="1:12" ht="19" x14ac:dyDescent="0.25">
      <c r="A745" s="45">
        <v>842408179</v>
      </c>
      <c r="B745" s="46" t="s">
        <v>12</v>
      </c>
      <c r="C745" s="46" t="s">
        <v>13</v>
      </c>
      <c r="D745" s="46" t="s">
        <v>24</v>
      </c>
      <c r="E745" s="49">
        <v>77.2</v>
      </c>
      <c r="F745" s="48">
        <v>10</v>
      </c>
      <c r="G745" s="78">
        <f t="shared" si="11"/>
        <v>772</v>
      </c>
      <c r="H745" s="120">
        <v>43507</v>
      </c>
      <c r="I745" s="50">
        <v>0.44305555555555554</v>
      </c>
      <c r="J745" s="46" t="s">
        <v>15</v>
      </c>
      <c r="K745" s="51">
        <v>5.6</v>
      </c>
      <c r="L745" s="122" t="str">
        <f>IF(AND(Tabla_Ventas[[#This Row],[VENTA TOTAL]]&gt;=30,Tabla_Ventas[[#This Row],[TIPO DE CLIENTE/ Customer type]]="Member"),"PARTICIPA","NO PARTICIPA")</f>
        <v>PARTICIPA</v>
      </c>
    </row>
    <row r="746" spans="1:12" ht="19" x14ac:dyDescent="0.25">
      <c r="A746" s="45">
        <v>457940464</v>
      </c>
      <c r="B746" s="46" t="s">
        <v>12</v>
      </c>
      <c r="C746" s="46" t="s">
        <v>13</v>
      </c>
      <c r="D746" s="46" t="s">
        <v>21</v>
      </c>
      <c r="E746" s="49">
        <v>87.87</v>
      </c>
      <c r="F746" s="48">
        <v>9</v>
      </c>
      <c r="G746" s="78">
        <f t="shared" si="11"/>
        <v>790.83</v>
      </c>
      <c r="H746" s="120">
        <v>43496</v>
      </c>
      <c r="I746" s="50">
        <v>0.85555555555555562</v>
      </c>
      <c r="J746" s="46" t="s">
        <v>17</v>
      </c>
      <c r="K746" s="51">
        <v>5.6</v>
      </c>
      <c r="L746" s="122" t="str">
        <f>IF(AND(Tabla_Ventas[[#This Row],[VENTA TOTAL]]&gt;=30,Tabla_Ventas[[#This Row],[TIPO DE CLIENTE/ Customer type]]="Member"),"PARTICIPA","NO PARTICIPA")</f>
        <v>PARTICIPA</v>
      </c>
    </row>
    <row r="747" spans="1:12" ht="19" x14ac:dyDescent="0.25">
      <c r="A747" s="45">
        <v>704104056</v>
      </c>
      <c r="B747" s="46" t="s">
        <v>16</v>
      </c>
      <c r="C747" s="46" t="s">
        <v>13</v>
      </c>
      <c r="D747" s="46" t="s">
        <v>20</v>
      </c>
      <c r="E747" s="49">
        <v>60.47</v>
      </c>
      <c r="F747" s="48">
        <v>3</v>
      </c>
      <c r="G747" s="78">
        <f t="shared" si="11"/>
        <v>181.41</v>
      </c>
      <c r="H747" s="120">
        <v>43479</v>
      </c>
      <c r="I747" s="50">
        <v>0.4548611111111111</v>
      </c>
      <c r="J747" s="46" t="s">
        <v>15</v>
      </c>
      <c r="K747" s="51">
        <v>5.6</v>
      </c>
      <c r="L747" s="122" t="str">
        <f>IF(AND(Tabla_Ventas[[#This Row],[VENTA TOTAL]]&gt;=30,Tabla_Ventas[[#This Row],[TIPO DE CLIENTE/ Customer type]]="Member"),"PARTICIPA","NO PARTICIPA")</f>
        <v>PARTICIPA</v>
      </c>
    </row>
    <row r="748" spans="1:12" ht="19" x14ac:dyDescent="0.25">
      <c r="A748" s="45">
        <v>288621085</v>
      </c>
      <c r="B748" s="46" t="s">
        <v>19</v>
      </c>
      <c r="C748" s="46" t="s">
        <v>13</v>
      </c>
      <c r="D748" s="46" t="s">
        <v>22</v>
      </c>
      <c r="E748" s="49">
        <v>38.54</v>
      </c>
      <c r="F748" s="48">
        <v>5</v>
      </c>
      <c r="G748" s="78">
        <f t="shared" si="11"/>
        <v>192.7</v>
      </c>
      <c r="H748" s="120">
        <v>43474</v>
      </c>
      <c r="I748" s="50">
        <v>0.56527777777777777</v>
      </c>
      <c r="J748" s="46" t="s">
        <v>17</v>
      </c>
      <c r="K748" s="51">
        <v>5.6</v>
      </c>
      <c r="L748" s="122" t="str">
        <f>IF(AND(Tabla_Ventas[[#This Row],[VENTA TOTAL]]&gt;=30,Tabla_Ventas[[#This Row],[TIPO DE CLIENTE/ Customer type]]="Member"),"PARTICIPA","NO PARTICIPA")</f>
        <v>PARTICIPA</v>
      </c>
    </row>
    <row r="749" spans="1:12" ht="19" x14ac:dyDescent="0.25">
      <c r="A749" s="45">
        <v>880465796</v>
      </c>
      <c r="B749" s="46" t="s">
        <v>19</v>
      </c>
      <c r="C749" s="46" t="s">
        <v>13</v>
      </c>
      <c r="D749" s="46" t="s">
        <v>14</v>
      </c>
      <c r="E749" s="49">
        <v>76.92</v>
      </c>
      <c r="F749" s="48">
        <v>10</v>
      </c>
      <c r="G749" s="78">
        <f t="shared" si="11"/>
        <v>769.2</v>
      </c>
      <c r="H749" s="120">
        <v>43541</v>
      </c>
      <c r="I749" s="50">
        <v>0.82847222222222217</v>
      </c>
      <c r="J749" s="46" t="s">
        <v>17</v>
      </c>
      <c r="K749" s="51">
        <v>5.6</v>
      </c>
      <c r="L749" s="122" t="str">
        <f>IF(AND(Tabla_Ventas[[#This Row],[VENTA TOTAL]]&gt;=30,Tabla_Ventas[[#This Row],[TIPO DE CLIENTE/ Customer type]]="Member"),"PARTICIPA","NO PARTICIPA")</f>
        <v>PARTICIPA</v>
      </c>
    </row>
    <row r="750" spans="1:12" ht="19" x14ac:dyDescent="0.25">
      <c r="A750" s="45">
        <v>870724431</v>
      </c>
      <c r="B750" s="46" t="s">
        <v>12</v>
      </c>
      <c r="C750" s="46" t="s">
        <v>18</v>
      </c>
      <c r="D750" s="46" t="s">
        <v>20</v>
      </c>
      <c r="E750" s="47">
        <v>99.19</v>
      </c>
      <c r="F750" s="48">
        <v>6</v>
      </c>
      <c r="G750" s="78">
        <f t="shared" si="11"/>
        <v>595.14</v>
      </c>
      <c r="H750" s="120">
        <v>43486</v>
      </c>
      <c r="I750" s="50">
        <v>0.61249999999999993</v>
      </c>
      <c r="J750" s="46" t="s">
        <v>15</v>
      </c>
      <c r="K750" s="51">
        <v>5.5</v>
      </c>
      <c r="L750" s="122" t="str">
        <f>IF(AND(Tabla_Ventas[[#This Row],[VENTA TOTAL]]&gt;=30,Tabla_Ventas[[#This Row],[TIPO DE CLIENTE/ Customer type]]="Member"),"PARTICIPA","NO PARTICIPA")</f>
        <v>NO PARTICIPA</v>
      </c>
    </row>
    <row r="751" spans="1:12" ht="19" x14ac:dyDescent="0.25">
      <c r="A751" s="45">
        <v>249423782</v>
      </c>
      <c r="B751" s="46" t="s">
        <v>19</v>
      </c>
      <c r="C751" s="46" t="s">
        <v>18</v>
      </c>
      <c r="D751" s="46" t="s">
        <v>20</v>
      </c>
      <c r="E751" s="47">
        <v>70.010000000000005</v>
      </c>
      <c r="F751" s="48">
        <v>5</v>
      </c>
      <c r="G751" s="78">
        <f t="shared" si="11"/>
        <v>350.05</v>
      </c>
      <c r="H751" s="120">
        <v>43468</v>
      </c>
      <c r="I751" s="50">
        <v>0.48333333333333334</v>
      </c>
      <c r="J751" s="46" t="s">
        <v>17</v>
      </c>
      <c r="K751" s="51">
        <v>5.5</v>
      </c>
      <c r="L751" s="122" t="str">
        <f>IF(AND(Tabla_Ventas[[#This Row],[VENTA TOTAL]]&gt;=30,Tabla_Ventas[[#This Row],[TIPO DE CLIENTE/ Customer type]]="Member"),"PARTICIPA","NO PARTICIPA")</f>
        <v>NO PARTICIPA</v>
      </c>
    </row>
    <row r="752" spans="1:12" ht="19" x14ac:dyDescent="0.25">
      <c r="A752" s="45">
        <v>420114919</v>
      </c>
      <c r="B752" s="46" t="s">
        <v>12</v>
      </c>
      <c r="C752" s="46" t="s">
        <v>13</v>
      </c>
      <c r="D752" s="46" t="s">
        <v>24</v>
      </c>
      <c r="E752" s="47">
        <v>71.39</v>
      </c>
      <c r="F752" s="48">
        <v>5</v>
      </c>
      <c r="G752" s="78">
        <f t="shared" si="11"/>
        <v>356.95</v>
      </c>
      <c r="H752" s="120">
        <v>43513</v>
      </c>
      <c r="I752" s="50">
        <v>0.83124999999999993</v>
      </c>
      <c r="J752" s="46" t="s">
        <v>15</v>
      </c>
      <c r="K752" s="51">
        <v>5.5</v>
      </c>
      <c r="L752" s="122" t="str">
        <f>IF(AND(Tabla_Ventas[[#This Row],[VENTA TOTAL]]&gt;=30,Tabla_Ventas[[#This Row],[TIPO DE CLIENTE/ Customer type]]="Member"),"PARTICIPA","NO PARTICIPA")</f>
        <v>PARTICIPA</v>
      </c>
    </row>
    <row r="753" spans="1:12" ht="19" x14ac:dyDescent="0.25">
      <c r="A753" s="45">
        <v>319742561</v>
      </c>
      <c r="B753" s="46" t="s">
        <v>19</v>
      </c>
      <c r="C753" s="46" t="s">
        <v>13</v>
      </c>
      <c r="D753" s="46" t="s">
        <v>21</v>
      </c>
      <c r="E753" s="47">
        <v>94.64</v>
      </c>
      <c r="F753" s="48">
        <v>3</v>
      </c>
      <c r="G753" s="78">
        <f t="shared" si="11"/>
        <v>283.92</v>
      </c>
      <c r="H753" s="120">
        <v>43517</v>
      </c>
      <c r="I753" s="50">
        <v>0.70486111111111116</v>
      </c>
      <c r="J753" s="46" t="s">
        <v>23</v>
      </c>
      <c r="K753" s="51">
        <v>5.5</v>
      </c>
      <c r="L753" s="122" t="str">
        <f>IF(AND(Tabla_Ventas[[#This Row],[VENTA TOTAL]]&gt;=30,Tabla_Ventas[[#This Row],[TIPO DE CLIENTE/ Customer type]]="Member"),"PARTICIPA","NO PARTICIPA")</f>
        <v>PARTICIPA</v>
      </c>
    </row>
    <row r="754" spans="1:12" ht="19" x14ac:dyDescent="0.25">
      <c r="A754" s="45">
        <v>532597201</v>
      </c>
      <c r="B754" s="46" t="s">
        <v>16</v>
      </c>
      <c r="C754" s="46" t="s">
        <v>13</v>
      </c>
      <c r="D754" s="46" t="s">
        <v>14</v>
      </c>
      <c r="E754" s="47">
        <v>79.930000000000007</v>
      </c>
      <c r="F754" s="48">
        <v>6</v>
      </c>
      <c r="G754" s="78">
        <f t="shared" si="11"/>
        <v>479.58000000000004</v>
      </c>
      <c r="H754" s="120">
        <v>43496</v>
      </c>
      <c r="I754" s="50">
        <v>0.58611111111111114</v>
      </c>
      <c r="J754" s="46" t="s">
        <v>23</v>
      </c>
      <c r="K754" s="51">
        <v>5.5</v>
      </c>
      <c r="L754" s="122" t="str">
        <f>IF(AND(Tabla_Ventas[[#This Row],[VENTA TOTAL]]&gt;=30,Tabla_Ventas[[#This Row],[TIPO DE CLIENTE/ Customer type]]="Member"),"PARTICIPA","NO PARTICIPA")</f>
        <v>PARTICIPA</v>
      </c>
    </row>
    <row r="755" spans="1:12" ht="19" x14ac:dyDescent="0.25">
      <c r="A755" s="45">
        <v>649113678</v>
      </c>
      <c r="B755" s="46" t="s">
        <v>12</v>
      </c>
      <c r="C755" s="46" t="s">
        <v>18</v>
      </c>
      <c r="D755" s="46" t="s">
        <v>24</v>
      </c>
      <c r="E755" s="47">
        <v>22.93</v>
      </c>
      <c r="F755" s="48">
        <v>9</v>
      </c>
      <c r="G755" s="78">
        <f t="shared" si="11"/>
        <v>206.37</v>
      </c>
      <c r="H755" s="120">
        <v>43522</v>
      </c>
      <c r="I755" s="50">
        <v>0.85138888888888886</v>
      </c>
      <c r="J755" s="46" t="s">
        <v>23</v>
      </c>
      <c r="K755" s="51">
        <v>5.5</v>
      </c>
      <c r="L755" s="122" t="str">
        <f>IF(AND(Tabla_Ventas[[#This Row],[VENTA TOTAL]]&gt;=30,Tabla_Ventas[[#This Row],[TIPO DE CLIENTE/ Customer type]]="Member"),"PARTICIPA","NO PARTICIPA")</f>
        <v>NO PARTICIPA</v>
      </c>
    </row>
    <row r="756" spans="1:12" ht="19" x14ac:dyDescent="0.25">
      <c r="A756" s="45">
        <v>566711091</v>
      </c>
      <c r="B756" s="46" t="s">
        <v>19</v>
      </c>
      <c r="C756" s="46" t="s">
        <v>18</v>
      </c>
      <c r="D756" s="46" t="s">
        <v>22</v>
      </c>
      <c r="E756" s="47">
        <v>77.02</v>
      </c>
      <c r="F756" s="48">
        <v>5</v>
      </c>
      <c r="G756" s="78">
        <f t="shared" si="11"/>
        <v>385.09999999999997</v>
      </c>
      <c r="H756" s="120">
        <v>43499</v>
      </c>
      <c r="I756" s="50">
        <v>0.66597222222222219</v>
      </c>
      <c r="J756" s="46" t="s">
        <v>23</v>
      </c>
      <c r="K756" s="51">
        <v>5.5</v>
      </c>
      <c r="L756" s="122" t="str">
        <f>IF(AND(Tabla_Ventas[[#This Row],[VENTA TOTAL]]&gt;=30,Tabla_Ventas[[#This Row],[TIPO DE CLIENTE/ Customer type]]="Member"),"PARTICIPA","NO PARTICIPA")</f>
        <v>NO PARTICIPA</v>
      </c>
    </row>
    <row r="757" spans="1:12" ht="19" x14ac:dyDescent="0.25">
      <c r="A757" s="45">
        <v>834618124</v>
      </c>
      <c r="B757" s="46" t="s">
        <v>19</v>
      </c>
      <c r="C757" s="46" t="s">
        <v>18</v>
      </c>
      <c r="D757" s="46" t="s">
        <v>21</v>
      </c>
      <c r="E757" s="47">
        <v>51.69</v>
      </c>
      <c r="F757" s="48">
        <v>7</v>
      </c>
      <c r="G757" s="78">
        <f t="shared" si="11"/>
        <v>361.83</v>
      </c>
      <c r="H757" s="120">
        <v>43491</v>
      </c>
      <c r="I757" s="50">
        <v>0.76527777777777783</v>
      </c>
      <c r="J757" s="46" t="s">
        <v>23</v>
      </c>
      <c r="K757" s="51">
        <v>5.5</v>
      </c>
      <c r="L757" s="122" t="str">
        <f>IF(AND(Tabla_Ventas[[#This Row],[VENTA TOTAL]]&gt;=30,Tabla_Ventas[[#This Row],[TIPO DE CLIENTE/ Customer type]]="Member"),"PARTICIPA","NO PARTICIPA")</f>
        <v>NO PARTICIPA</v>
      </c>
    </row>
    <row r="758" spans="1:12" ht="19" x14ac:dyDescent="0.25">
      <c r="A758" s="45">
        <v>256088343</v>
      </c>
      <c r="B758" s="46" t="s">
        <v>19</v>
      </c>
      <c r="C758" s="46" t="s">
        <v>18</v>
      </c>
      <c r="D758" s="46" t="s">
        <v>25</v>
      </c>
      <c r="E758" s="47">
        <v>56.53</v>
      </c>
      <c r="F758" s="48">
        <v>4</v>
      </c>
      <c r="G758" s="78">
        <f t="shared" si="11"/>
        <v>226.12</v>
      </c>
      <c r="H758" s="120">
        <v>43558</v>
      </c>
      <c r="I758" s="50">
        <v>0.82500000000000007</v>
      </c>
      <c r="J758" s="46" t="s">
        <v>17</v>
      </c>
      <c r="K758" s="51">
        <v>5.5</v>
      </c>
      <c r="L758" s="122" t="str">
        <f>IF(AND(Tabla_Ventas[[#This Row],[VENTA TOTAL]]&gt;=30,Tabla_Ventas[[#This Row],[TIPO DE CLIENTE/ Customer type]]="Member"),"PARTICIPA","NO PARTICIPA")</f>
        <v>NO PARTICIPA</v>
      </c>
    </row>
    <row r="759" spans="1:12" ht="19" x14ac:dyDescent="0.25">
      <c r="A759" s="45">
        <v>568883448</v>
      </c>
      <c r="B759" s="46" t="s">
        <v>19</v>
      </c>
      <c r="C759" s="46" t="s">
        <v>18</v>
      </c>
      <c r="D759" s="46" t="s">
        <v>20</v>
      </c>
      <c r="E759" s="47">
        <v>25</v>
      </c>
      <c r="F759" s="48">
        <v>1</v>
      </c>
      <c r="G759" s="78">
        <f t="shared" si="11"/>
        <v>25</v>
      </c>
      <c r="H759" s="120">
        <v>43527</v>
      </c>
      <c r="I759" s="50">
        <v>0.63124999999999998</v>
      </c>
      <c r="J759" s="46" t="s">
        <v>17</v>
      </c>
      <c r="K759" s="51">
        <v>5.5</v>
      </c>
      <c r="L759" s="122" t="str">
        <f>IF(AND(Tabla_Ventas[[#This Row],[VENTA TOTAL]]&gt;=30,Tabla_Ventas[[#This Row],[TIPO DE CLIENTE/ Customer type]]="Member"),"PARTICIPA","NO PARTICIPA")</f>
        <v>NO PARTICIPA</v>
      </c>
    </row>
    <row r="760" spans="1:12" ht="19" x14ac:dyDescent="0.25">
      <c r="A760" s="45">
        <v>405313305</v>
      </c>
      <c r="B760" s="46" t="s">
        <v>19</v>
      </c>
      <c r="C760" s="46" t="s">
        <v>13</v>
      </c>
      <c r="D760" s="46" t="s">
        <v>22</v>
      </c>
      <c r="E760" s="47">
        <v>43.13</v>
      </c>
      <c r="F760" s="48">
        <v>10</v>
      </c>
      <c r="G760" s="78">
        <f t="shared" si="11"/>
        <v>431.3</v>
      </c>
      <c r="H760" s="120">
        <v>43498</v>
      </c>
      <c r="I760" s="50">
        <v>0.7715277777777777</v>
      </c>
      <c r="J760" s="46" t="s">
        <v>15</v>
      </c>
      <c r="K760" s="51">
        <v>5.5</v>
      </c>
      <c r="L760" s="122" t="str">
        <f>IF(AND(Tabla_Ventas[[#This Row],[VENTA TOTAL]]&gt;=30,Tabla_Ventas[[#This Row],[TIPO DE CLIENTE/ Customer type]]="Member"),"PARTICIPA","NO PARTICIPA")</f>
        <v>PARTICIPA</v>
      </c>
    </row>
    <row r="761" spans="1:12" ht="19" x14ac:dyDescent="0.25">
      <c r="A761" s="45">
        <v>632324574</v>
      </c>
      <c r="B761" s="46" t="s">
        <v>16</v>
      </c>
      <c r="C761" s="46" t="s">
        <v>18</v>
      </c>
      <c r="D761" s="46" t="s">
        <v>14</v>
      </c>
      <c r="E761" s="47">
        <v>75.92</v>
      </c>
      <c r="F761" s="48">
        <v>8</v>
      </c>
      <c r="G761" s="78">
        <f t="shared" si="11"/>
        <v>607.36</v>
      </c>
      <c r="H761" s="120">
        <v>43544</v>
      </c>
      <c r="I761" s="50">
        <v>0.59305555555555556</v>
      </c>
      <c r="J761" s="46" t="s">
        <v>23</v>
      </c>
      <c r="K761" s="51">
        <v>5.5</v>
      </c>
      <c r="L761" s="122" t="str">
        <f>IF(AND(Tabla_Ventas[[#This Row],[VENTA TOTAL]]&gt;=30,Tabla_Ventas[[#This Row],[TIPO DE CLIENTE/ Customer type]]="Member"),"PARTICIPA","NO PARTICIPA")</f>
        <v>NO PARTICIPA</v>
      </c>
    </row>
    <row r="762" spans="1:12" ht="19" x14ac:dyDescent="0.25">
      <c r="A762" s="45">
        <v>243472663</v>
      </c>
      <c r="B762" s="46" t="s">
        <v>12</v>
      </c>
      <c r="C762" s="46" t="s">
        <v>13</v>
      </c>
      <c r="D762" s="46" t="s">
        <v>21</v>
      </c>
      <c r="E762" s="47">
        <v>18.77</v>
      </c>
      <c r="F762" s="48">
        <v>6</v>
      </c>
      <c r="G762" s="78">
        <f t="shared" si="11"/>
        <v>112.62</v>
      </c>
      <c r="H762" s="120">
        <v>43493</v>
      </c>
      <c r="I762" s="50">
        <v>0.69652777777777775</v>
      </c>
      <c r="J762" s="46" t="s">
        <v>15</v>
      </c>
      <c r="K762" s="51">
        <v>5.5</v>
      </c>
      <c r="L762" s="122" t="str">
        <f>IF(AND(Tabla_Ventas[[#This Row],[VENTA TOTAL]]&gt;=30,Tabla_Ventas[[#This Row],[TIPO DE CLIENTE/ Customer type]]="Member"),"PARTICIPA","NO PARTICIPA")</f>
        <v>PARTICIPA</v>
      </c>
    </row>
    <row r="763" spans="1:12" ht="19" x14ac:dyDescent="0.25">
      <c r="A763" s="45">
        <v>241112261</v>
      </c>
      <c r="B763" s="46" t="s">
        <v>16</v>
      </c>
      <c r="C763" s="46" t="s">
        <v>18</v>
      </c>
      <c r="D763" s="46" t="s">
        <v>22</v>
      </c>
      <c r="E763" s="47">
        <v>79.86</v>
      </c>
      <c r="F763" s="48">
        <v>7</v>
      </c>
      <c r="G763" s="78">
        <f t="shared" si="11"/>
        <v>559.02</v>
      </c>
      <c r="H763" s="120">
        <v>43739</v>
      </c>
      <c r="I763" s="50">
        <v>0.43958333333333338</v>
      </c>
      <c r="J763" s="46" t="s">
        <v>15</v>
      </c>
      <c r="K763" s="51">
        <v>5.5</v>
      </c>
      <c r="L763" s="122" t="str">
        <f>IF(AND(Tabla_Ventas[[#This Row],[VENTA TOTAL]]&gt;=30,Tabla_Ventas[[#This Row],[TIPO DE CLIENTE/ Customer type]]="Member"),"PARTICIPA","NO PARTICIPA")</f>
        <v>NO PARTICIPA</v>
      </c>
    </row>
    <row r="764" spans="1:12" ht="19" x14ac:dyDescent="0.25">
      <c r="A764" s="45">
        <v>273842164</v>
      </c>
      <c r="B764" s="46" t="s">
        <v>16</v>
      </c>
      <c r="C764" s="46" t="s">
        <v>13</v>
      </c>
      <c r="D764" s="46" t="s">
        <v>21</v>
      </c>
      <c r="E764" s="49">
        <v>12.05</v>
      </c>
      <c r="F764" s="48">
        <v>5</v>
      </c>
      <c r="G764" s="78">
        <f t="shared" si="11"/>
        <v>60.25</v>
      </c>
      <c r="H764" s="120">
        <v>43512</v>
      </c>
      <c r="I764" s="50">
        <v>0.66180555555555554</v>
      </c>
      <c r="J764" s="46" t="s">
        <v>17</v>
      </c>
      <c r="K764" s="51">
        <v>5.5</v>
      </c>
      <c r="L764" s="122" t="str">
        <f>IF(AND(Tabla_Ventas[[#This Row],[VENTA TOTAL]]&gt;=30,Tabla_Ventas[[#This Row],[TIPO DE CLIENTE/ Customer type]]="Member"),"PARTICIPA","NO PARTICIPA")</f>
        <v>PARTICIPA</v>
      </c>
    </row>
    <row r="765" spans="1:12" ht="19" x14ac:dyDescent="0.25">
      <c r="A765" s="45">
        <v>642614706</v>
      </c>
      <c r="B765" s="46" t="s">
        <v>12</v>
      </c>
      <c r="C765" s="46" t="s">
        <v>13</v>
      </c>
      <c r="D765" s="46" t="s">
        <v>24</v>
      </c>
      <c r="E765" s="49">
        <v>93.4</v>
      </c>
      <c r="F765" s="48">
        <v>2</v>
      </c>
      <c r="G765" s="78">
        <f t="shared" si="11"/>
        <v>186.8</v>
      </c>
      <c r="H765" s="120">
        <v>43554</v>
      </c>
      <c r="I765" s="50">
        <v>0.69027777777777777</v>
      </c>
      <c r="J765" s="46" t="s">
        <v>23</v>
      </c>
      <c r="K765" s="51">
        <v>5.5</v>
      </c>
      <c r="L765" s="122" t="str">
        <f>IF(AND(Tabla_Ventas[[#This Row],[VENTA TOTAL]]&gt;=30,Tabla_Ventas[[#This Row],[TIPO DE CLIENTE/ Customer type]]="Member"),"PARTICIPA","NO PARTICIPA")</f>
        <v>PARTICIPA</v>
      </c>
    </row>
    <row r="766" spans="1:12" ht="19" x14ac:dyDescent="0.25">
      <c r="A766" s="45">
        <v>886779084</v>
      </c>
      <c r="B766" s="46" t="s">
        <v>16</v>
      </c>
      <c r="C766" s="46" t="s">
        <v>18</v>
      </c>
      <c r="D766" s="46" t="s">
        <v>21</v>
      </c>
      <c r="E766" s="49">
        <v>71.89</v>
      </c>
      <c r="F766" s="48">
        <v>8</v>
      </c>
      <c r="G766" s="78">
        <f t="shared" si="11"/>
        <v>575.12</v>
      </c>
      <c r="H766" s="120">
        <v>43515</v>
      </c>
      <c r="I766" s="50">
        <v>0.48125000000000001</v>
      </c>
      <c r="J766" s="46" t="s">
        <v>17</v>
      </c>
      <c r="K766" s="51">
        <v>5.5</v>
      </c>
      <c r="L766" s="122" t="str">
        <f>IF(AND(Tabla_Ventas[[#This Row],[VENTA TOTAL]]&gt;=30,Tabla_Ventas[[#This Row],[TIPO DE CLIENTE/ Customer type]]="Member"),"PARTICIPA","NO PARTICIPA")</f>
        <v>NO PARTICIPA</v>
      </c>
    </row>
    <row r="767" spans="1:12" ht="19" x14ac:dyDescent="0.25">
      <c r="A767" s="45">
        <v>443609639</v>
      </c>
      <c r="B767" s="46" t="s">
        <v>16</v>
      </c>
      <c r="C767" s="46" t="s">
        <v>13</v>
      </c>
      <c r="D767" s="46" t="s">
        <v>25</v>
      </c>
      <c r="E767" s="49">
        <v>60.87</v>
      </c>
      <c r="F767" s="48">
        <v>1</v>
      </c>
      <c r="G767" s="78">
        <f t="shared" si="11"/>
        <v>60.87</v>
      </c>
      <c r="H767" s="120">
        <v>43489</v>
      </c>
      <c r="I767" s="50">
        <v>0.55833333333333335</v>
      </c>
      <c r="J767" s="46" t="s">
        <v>23</v>
      </c>
      <c r="K767" s="51">
        <v>5.5</v>
      </c>
      <c r="L767" s="122" t="str">
        <f>IF(AND(Tabla_Ventas[[#This Row],[VENTA TOTAL]]&gt;=30,Tabla_Ventas[[#This Row],[TIPO DE CLIENTE/ Customer type]]="Member"),"PARTICIPA","NO PARTICIPA")</f>
        <v>PARTICIPA</v>
      </c>
    </row>
    <row r="768" spans="1:12" ht="19" x14ac:dyDescent="0.25">
      <c r="A768" s="45">
        <v>452048808</v>
      </c>
      <c r="B768" s="46" t="s">
        <v>12</v>
      </c>
      <c r="C768" s="46" t="s">
        <v>18</v>
      </c>
      <c r="D768" s="46" t="s">
        <v>21</v>
      </c>
      <c r="E768" s="49">
        <v>87.08</v>
      </c>
      <c r="F768" s="48">
        <v>7</v>
      </c>
      <c r="G768" s="78">
        <f t="shared" si="11"/>
        <v>609.55999999999995</v>
      </c>
      <c r="H768" s="120">
        <v>43491</v>
      </c>
      <c r="I768" s="50">
        <v>0.63680555555555551</v>
      </c>
      <c r="J768" s="46" t="s">
        <v>23</v>
      </c>
      <c r="K768" s="51">
        <v>5.5</v>
      </c>
      <c r="L768" s="122" t="str">
        <f>IF(AND(Tabla_Ventas[[#This Row],[VENTA TOTAL]]&gt;=30,Tabla_Ventas[[#This Row],[TIPO DE CLIENTE/ Customer type]]="Member"),"PARTICIPA","NO PARTICIPA")</f>
        <v>NO PARTICIPA</v>
      </c>
    </row>
    <row r="769" spans="1:12" ht="19" x14ac:dyDescent="0.25">
      <c r="A769" s="45">
        <v>817488732</v>
      </c>
      <c r="B769" s="46" t="s">
        <v>19</v>
      </c>
      <c r="C769" s="46" t="s">
        <v>13</v>
      </c>
      <c r="D769" s="46" t="s">
        <v>25</v>
      </c>
      <c r="E769" s="47">
        <v>72.349999999999994</v>
      </c>
      <c r="F769" s="48">
        <v>10</v>
      </c>
      <c r="G769" s="78">
        <f t="shared" si="11"/>
        <v>723.5</v>
      </c>
      <c r="H769" s="120">
        <v>43485</v>
      </c>
      <c r="I769" s="50">
        <v>0.66319444444444442</v>
      </c>
      <c r="J769" s="46" t="s">
        <v>23</v>
      </c>
      <c r="K769" s="51">
        <v>5.4</v>
      </c>
      <c r="L769" s="122" t="str">
        <f>IF(AND(Tabla_Ventas[[#This Row],[VENTA TOTAL]]&gt;=30,Tabla_Ventas[[#This Row],[TIPO DE CLIENTE/ Customer type]]="Member"),"PARTICIPA","NO PARTICIPA")</f>
        <v>PARTICIPA</v>
      </c>
    </row>
    <row r="770" spans="1:12" ht="19" x14ac:dyDescent="0.25">
      <c r="A770" s="45">
        <v>732940499</v>
      </c>
      <c r="B770" s="46" t="s">
        <v>12</v>
      </c>
      <c r="C770" s="46" t="s">
        <v>18</v>
      </c>
      <c r="D770" s="46" t="s">
        <v>21</v>
      </c>
      <c r="E770" s="47">
        <v>41.65</v>
      </c>
      <c r="F770" s="48">
        <v>10</v>
      </c>
      <c r="G770" s="78">
        <f t="shared" si="11"/>
        <v>416.5</v>
      </c>
      <c r="H770" s="120">
        <v>43478</v>
      </c>
      <c r="I770" s="50">
        <v>0.71111111111111114</v>
      </c>
      <c r="J770" s="46" t="s">
        <v>15</v>
      </c>
      <c r="K770" s="51">
        <v>5.4</v>
      </c>
      <c r="L770" s="122" t="str">
        <f>IF(AND(Tabla_Ventas[[#This Row],[VENTA TOTAL]]&gt;=30,Tabla_Ventas[[#This Row],[TIPO DE CLIENTE/ Customer type]]="Member"),"PARTICIPA","NO PARTICIPA")</f>
        <v>NO PARTICIPA</v>
      </c>
    </row>
    <row r="771" spans="1:12" ht="19" x14ac:dyDescent="0.25">
      <c r="A771" s="45">
        <v>731819469</v>
      </c>
      <c r="B771" s="46" t="s">
        <v>12</v>
      </c>
      <c r="C771" s="46" t="s">
        <v>13</v>
      </c>
      <c r="D771" s="46" t="s">
        <v>14</v>
      </c>
      <c r="E771" s="47">
        <v>89.8</v>
      </c>
      <c r="F771" s="48">
        <v>10</v>
      </c>
      <c r="G771" s="78">
        <f t="shared" si="11"/>
        <v>898</v>
      </c>
      <c r="H771" s="120">
        <v>43488</v>
      </c>
      <c r="I771" s="50">
        <v>0.54166666666666663</v>
      </c>
      <c r="J771" s="46" t="s">
        <v>15</v>
      </c>
      <c r="K771" s="51">
        <v>5.4</v>
      </c>
      <c r="L771" s="122" t="str">
        <f>IF(AND(Tabla_Ventas[[#This Row],[VENTA TOTAL]]&gt;=30,Tabla_Ventas[[#This Row],[TIPO DE CLIENTE/ Customer type]]="Member"),"PARTICIPA","NO PARTICIPA")</f>
        <v>PARTICIPA</v>
      </c>
    </row>
    <row r="772" spans="1:12" ht="19" x14ac:dyDescent="0.25">
      <c r="A772" s="45">
        <v>394434238</v>
      </c>
      <c r="B772" s="46" t="s">
        <v>16</v>
      </c>
      <c r="C772" s="46" t="s">
        <v>13</v>
      </c>
      <c r="D772" s="46" t="s">
        <v>25</v>
      </c>
      <c r="E772" s="47">
        <v>17.77</v>
      </c>
      <c r="F772" s="48">
        <v>5</v>
      </c>
      <c r="G772" s="78">
        <f t="shared" ref="G772:G835" si="12">F772*E772</f>
        <v>88.85</v>
      </c>
      <c r="H772" s="120">
        <v>43511</v>
      </c>
      <c r="I772" s="50">
        <v>0.52916666666666667</v>
      </c>
      <c r="J772" s="46" t="s">
        <v>15</v>
      </c>
      <c r="K772" s="51">
        <v>5.4</v>
      </c>
      <c r="L772" s="122" t="str">
        <f>IF(AND(Tabla_Ventas[[#This Row],[VENTA TOTAL]]&gt;=30,Tabla_Ventas[[#This Row],[TIPO DE CLIENTE/ Customer type]]="Member"),"PARTICIPA","NO PARTICIPA")</f>
        <v>PARTICIPA</v>
      </c>
    </row>
    <row r="773" spans="1:12" ht="19" x14ac:dyDescent="0.25">
      <c r="A773" s="45">
        <v>468012051</v>
      </c>
      <c r="B773" s="46" t="s">
        <v>16</v>
      </c>
      <c r="C773" s="46" t="s">
        <v>18</v>
      </c>
      <c r="D773" s="46" t="s">
        <v>24</v>
      </c>
      <c r="E773" s="47">
        <v>62.08</v>
      </c>
      <c r="F773" s="48">
        <v>7</v>
      </c>
      <c r="G773" s="78">
        <f t="shared" si="12"/>
        <v>434.56</v>
      </c>
      <c r="H773" s="120">
        <v>43530</v>
      </c>
      <c r="I773" s="50">
        <v>0.57361111111111118</v>
      </c>
      <c r="J773" s="46" t="s">
        <v>17</v>
      </c>
      <c r="K773" s="51">
        <v>5.4</v>
      </c>
      <c r="L773" s="122" t="str">
        <f>IF(AND(Tabla_Ventas[[#This Row],[VENTA TOTAL]]&gt;=30,Tabla_Ventas[[#This Row],[TIPO DE CLIENTE/ Customer type]]="Member"),"PARTICIPA","NO PARTICIPA")</f>
        <v>NO PARTICIPA</v>
      </c>
    </row>
    <row r="774" spans="1:12" ht="19" x14ac:dyDescent="0.25">
      <c r="A774" s="45">
        <v>815111168</v>
      </c>
      <c r="B774" s="46" t="s">
        <v>19</v>
      </c>
      <c r="C774" s="46" t="s">
        <v>13</v>
      </c>
      <c r="D774" s="46" t="s">
        <v>24</v>
      </c>
      <c r="E774" s="47">
        <v>99.78</v>
      </c>
      <c r="F774" s="48">
        <v>5</v>
      </c>
      <c r="G774" s="78">
        <f t="shared" si="12"/>
        <v>498.9</v>
      </c>
      <c r="H774" s="120">
        <v>43533</v>
      </c>
      <c r="I774" s="50">
        <v>0.79791666666666661</v>
      </c>
      <c r="J774" s="46" t="s">
        <v>23</v>
      </c>
      <c r="K774" s="51">
        <v>5.4</v>
      </c>
      <c r="L774" s="122" t="str">
        <f>IF(AND(Tabla_Ventas[[#This Row],[VENTA TOTAL]]&gt;=30,Tabla_Ventas[[#This Row],[TIPO DE CLIENTE/ Customer type]]="Member"),"PARTICIPA","NO PARTICIPA")</f>
        <v>PARTICIPA</v>
      </c>
    </row>
    <row r="775" spans="1:12" ht="19" x14ac:dyDescent="0.25">
      <c r="A775" s="45">
        <v>613599758</v>
      </c>
      <c r="B775" s="46" t="s">
        <v>12</v>
      </c>
      <c r="C775" s="46" t="s">
        <v>18</v>
      </c>
      <c r="D775" s="46" t="s">
        <v>14</v>
      </c>
      <c r="E775" s="47">
        <v>14.36</v>
      </c>
      <c r="F775" s="48">
        <v>10</v>
      </c>
      <c r="G775" s="78">
        <f t="shared" si="12"/>
        <v>143.6</v>
      </c>
      <c r="H775" s="120">
        <v>43492</v>
      </c>
      <c r="I775" s="50">
        <v>0.60277777777777775</v>
      </c>
      <c r="J775" s="46" t="s">
        <v>23</v>
      </c>
      <c r="K775" s="51">
        <v>5.4</v>
      </c>
      <c r="L775" s="122" t="str">
        <f>IF(AND(Tabla_Ventas[[#This Row],[VENTA TOTAL]]&gt;=30,Tabla_Ventas[[#This Row],[TIPO DE CLIENTE/ Customer type]]="Member"),"PARTICIPA","NO PARTICIPA")</f>
        <v>NO PARTICIPA</v>
      </c>
    </row>
    <row r="776" spans="1:12" ht="19" x14ac:dyDescent="0.25">
      <c r="A776" s="45">
        <v>372261506</v>
      </c>
      <c r="B776" s="46" t="s">
        <v>12</v>
      </c>
      <c r="C776" s="46" t="s">
        <v>18</v>
      </c>
      <c r="D776" s="46" t="s">
        <v>22</v>
      </c>
      <c r="E776" s="47">
        <v>23.82</v>
      </c>
      <c r="F776" s="48">
        <v>5</v>
      </c>
      <c r="G776" s="78">
        <f t="shared" si="12"/>
        <v>119.1</v>
      </c>
      <c r="H776" s="120">
        <v>43493</v>
      </c>
      <c r="I776" s="50">
        <v>0.80833333333333324</v>
      </c>
      <c r="J776" s="46" t="s">
        <v>17</v>
      </c>
      <c r="K776" s="51">
        <v>5.4</v>
      </c>
      <c r="L776" s="122" t="str">
        <f>IF(AND(Tabla_Ventas[[#This Row],[VENTA TOTAL]]&gt;=30,Tabla_Ventas[[#This Row],[TIPO DE CLIENTE/ Customer type]]="Member"),"PARTICIPA","NO PARTICIPA")</f>
        <v>NO PARTICIPA</v>
      </c>
    </row>
    <row r="777" spans="1:12" ht="19" x14ac:dyDescent="0.25">
      <c r="A777" s="45">
        <v>767051286</v>
      </c>
      <c r="B777" s="46" t="s">
        <v>12</v>
      </c>
      <c r="C777" s="46" t="s">
        <v>13</v>
      </c>
      <c r="D777" s="46" t="s">
        <v>25</v>
      </c>
      <c r="E777" s="47">
        <v>83.77</v>
      </c>
      <c r="F777" s="48">
        <v>6</v>
      </c>
      <c r="G777" s="78">
        <f t="shared" si="12"/>
        <v>502.62</v>
      </c>
      <c r="H777" s="120">
        <v>43488</v>
      </c>
      <c r="I777" s="50">
        <v>0.50694444444444442</v>
      </c>
      <c r="J777" s="46" t="s">
        <v>17</v>
      </c>
      <c r="K777" s="51">
        <v>5.4</v>
      </c>
      <c r="L777" s="122" t="str">
        <f>IF(AND(Tabla_Ventas[[#This Row],[VENTA TOTAL]]&gt;=30,Tabla_Ventas[[#This Row],[TIPO DE CLIENTE/ Customer type]]="Member"),"PARTICIPA","NO PARTICIPA")</f>
        <v>PARTICIPA</v>
      </c>
    </row>
    <row r="778" spans="1:12" ht="19" x14ac:dyDescent="0.25">
      <c r="A778" s="45">
        <v>277632961</v>
      </c>
      <c r="B778" s="46" t="s">
        <v>16</v>
      </c>
      <c r="C778" s="46" t="s">
        <v>13</v>
      </c>
      <c r="D778" s="46" t="s">
        <v>14</v>
      </c>
      <c r="E778" s="47">
        <v>73.97</v>
      </c>
      <c r="F778" s="48">
        <v>1</v>
      </c>
      <c r="G778" s="78">
        <f t="shared" si="12"/>
        <v>73.97</v>
      </c>
      <c r="H778" s="120">
        <v>43499</v>
      </c>
      <c r="I778" s="50">
        <v>0.66180555555555554</v>
      </c>
      <c r="J778" s="46" t="s">
        <v>15</v>
      </c>
      <c r="K778" s="51">
        <v>5.4</v>
      </c>
      <c r="L778" s="122" t="str">
        <f>IF(AND(Tabla_Ventas[[#This Row],[VENTA TOTAL]]&gt;=30,Tabla_Ventas[[#This Row],[TIPO DE CLIENTE/ Customer type]]="Member"),"PARTICIPA","NO PARTICIPA")</f>
        <v>PARTICIPA</v>
      </c>
    </row>
    <row r="779" spans="1:12" ht="19" x14ac:dyDescent="0.25">
      <c r="A779" s="45">
        <v>655072265</v>
      </c>
      <c r="B779" s="46" t="s">
        <v>19</v>
      </c>
      <c r="C779" s="46" t="s">
        <v>18</v>
      </c>
      <c r="D779" s="46" t="s">
        <v>21</v>
      </c>
      <c r="E779" s="49">
        <v>78.31</v>
      </c>
      <c r="F779" s="48">
        <v>3</v>
      </c>
      <c r="G779" s="78">
        <f t="shared" si="12"/>
        <v>234.93</v>
      </c>
      <c r="H779" s="120">
        <v>43529</v>
      </c>
      <c r="I779" s="50">
        <v>0.69305555555555554</v>
      </c>
      <c r="J779" s="46" t="s">
        <v>17</v>
      </c>
      <c r="K779" s="51">
        <v>5.4</v>
      </c>
      <c r="L779" s="122" t="str">
        <f>IF(AND(Tabla_Ventas[[#This Row],[VENTA TOTAL]]&gt;=30,Tabla_Ventas[[#This Row],[TIPO DE CLIENTE/ Customer type]]="Member"),"PARTICIPA","NO PARTICIPA")</f>
        <v>NO PARTICIPA</v>
      </c>
    </row>
    <row r="780" spans="1:12" ht="19" x14ac:dyDescent="0.25">
      <c r="A780" s="45">
        <v>427459297</v>
      </c>
      <c r="B780" s="46" t="s">
        <v>12</v>
      </c>
      <c r="C780" s="46" t="s">
        <v>13</v>
      </c>
      <c r="D780" s="46" t="s">
        <v>25</v>
      </c>
      <c r="E780" s="49">
        <v>40.729999999999997</v>
      </c>
      <c r="F780" s="48">
        <v>7</v>
      </c>
      <c r="G780" s="78">
        <f t="shared" si="12"/>
        <v>285.10999999999996</v>
      </c>
      <c r="H780" s="120">
        <v>43509</v>
      </c>
      <c r="I780" s="50">
        <v>0.45902777777777781</v>
      </c>
      <c r="J780" s="46" t="s">
        <v>17</v>
      </c>
      <c r="K780" s="51">
        <v>5.4</v>
      </c>
      <c r="L780" s="122" t="str">
        <f>IF(AND(Tabla_Ventas[[#This Row],[VENTA TOTAL]]&gt;=30,Tabla_Ventas[[#This Row],[TIPO DE CLIENTE/ Customer type]]="Member"),"PARTICIPA","NO PARTICIPA")</f>
        <v>PARTICIPA</v>
      </c>
    </row>
    <row r="781" spans="1:12" ht="19" x14ac:dyDescent="0.25">
      <c r="A781" s="45">
        <v>577347579</v>
      </c>
      <c r="B781" s="46" t="s">
        <v>16</v>
      </c>
      <c r="C781" s="46" t="s">
        <v>13</v>
      </c>
      <c r="D781" s="46" t="s">
        <v>24</v>
      </c>
      <c r="E781" s="49">
        <v>50.49</v>
      </c>
      <c r="F781" s="48">
        <v>9</v>
      </c>
      <c r="G781" s="78">
        <f t="shared" si="12"/>
        <v>454.41</v>
      </c>
      <c r="H781" s="120">
        <v>43475</v>
      </c>
      <c r="I781" s="50">
        <v>0.71944444444444444</v>
      </c>
      <c r="J781" s="46" t="s">
        <v>23</v>
      </c>
      <c r="K781" s="51">
        <v>5.4</v>
      </c>
      <c r="L781" s="122" t="str">
        <f>IF(AND(Tabla_Ventas[[#This Row],[VENTA TOTAL]]&gt;=30,Tabla_Ventas[[#This Row],[TIPO DE CLIENTE/ Customer type]]="Member"),"PARTICIPA","NO PARTICIPA")</f>
        <v>PARTICIPA</v>
      </c>
    </row>
    <row r="782" spans="1:12" ht="19" x14ac:dyDescent="0.25">
      <c r="A782" s="45">
        <v>531564728</v>
      </c>
      <c r="B782" s="46" t="s">
        <v>19</v>
      </c>
      <c r="C782" s="46" t="s">
        <v>18</v>
      </c>
      <c r="D782" s="46" t="s">
        <v>25</v>
      </c>
      <c r="E782" s="49">
        <v>80.08</v>
      </c>
      <c r="F782" s="48">
        <v>3</v>
      </c>
      <c r="G782" s="78">
        <f t="shared" si="12"/>
        <v>240.24</v>
      </c>
      <c r="H782" s="120">
        <v>43507</v>
      </c>
      <c r="I782" s="50">
        <v>0.64513888888888882</v>
      </c>
      <c r="J782" s="46" t="s">
        <v>23</v>
      </c>
      <c r="K782" s="51">
        <v>5.4</v>
      </c>
      <c r="L782" s="122" t="str">
        <f>IF(AND(Tabla_Ventas[[#This Row],[VENTA TOTAL]]&gt;=30,Tabla_Ventas[[#This Row],[TIPO DE CLIENTE/ Customer type]]="Member"),"PARTICIPA","NO PARTICIPA")</f>
        <v>NO PARTICIPA</v>
      </c>
    </row>
    <row r="783" spans="1:12" ht="19" x14ac:dyDescent="0.25">
      <c r="A783" s="45">
        <v>373737910</v>
      </c>
      <c r="B783" s="46" t="s">
        <v>19</v>
      </c>
      <c r="C783" s="46" t="s">
        <v>18</v>
      </c>
      <c r="D783" s="46" t="s">
        <v>14</v>
      </c>
      <c r="E783" s="47">
        <v>86.31</v>
      </c>
      <c r="F783" s="48">
        <v>7</v>
      </c>
      <c r="G783" s="78">
        <f t="shared" si="12"/>
        <v>604.17000000000007</v>
      </c>
      <c r="H783" s="120">
        <v>43679</v>
      </c>
      <c r="I783" s="50">
        <v>0.44236111111111115</v>
      </c>
      <c r="J783" s="46" t="s">
        <v>17</v>
      </c>
      <c r="K783" s="51">
        <v>5.3</v>
      </c>
      <c r="L783" s="122" t="str">
        <f>IF(AND(Tabla_Ventas[[#This Row],[VENTA TOTAL]]&gt;=30,Tabla_Ventas[[#This Row],[TIPO DE CLIENTE/ Customer type]]="Member"),"PARTICIPA","NO PARTICIPA")</f>
        <v>NO PARTICIPA</v>
      </c>
    </row>
    <row r="784" spans="1:12" ht="19" x14ac:dyDescent="0.25">
      <c r="A784" s="45">
        <v>291321427</v>
      </c>
      <c r="B784" s="46" t="s">
        <v>16</v>
      </c>
      <c r="C784" s="46" t="s">
        <v>13</v>
      </c>
      <c r="D784" s="46" t="s">
        <v>22</v>
      </c>
      <c r="E784" s="47">
        <v>21.94</v>
      </c>
      <c r="F784" s="48">
        <v>5</v>
      </c>
      <c r="G784" s="78">
        <f t="shared" si="12"/>
        <v>109.7</v>
      </c>
      <c r="H784" s="120">
        <v>43529</v>
      </c>
      <c r="I784" s="50">
        <v>0.52013888888888882</v>
      </c>
      <c r="J784" s="46" t="s">
        <v>17</v>
      </c>
      <c r="K784" s="51">
        <v>5.3</v>
      </c>
      <c r="L784" s="122" t="str">
        <f>IF(AND(Tabla_Ventas[[#This Row],[VENTA TOTAL]]&gt;=30,Tabla_Ventas[[#This Row],[TIPO DE CLIENTE/ Customer type]]="Member"),"PARTICIPA","NO PARTICIPA")</f>
        <v>PARTICIPA</v>
      </c>
    </row>
    <row r="785" spans="1:12" ht="19" x14ac:dyDescent="0.25">
      <c r="A785" s="45">
        <v>483711164</v>
      </c>
      <c r="B785" s="46" t="s">
        <v>12</v>
      </c>
      <c r="C785" s="46" t="s">
        <v>18</v>
      </c>
      <c r="D785" s="46" t="s">
        <v>20</v>
      </c>
      <c r="E785" s="47">
        <v>81.3</v>
      </c>
      <c r="F785" s="48">
        <v>6</v>
      </c>
      <c r="G785" s="78">
        <f t="shared" si="12"/>
        <v>487.79999999999995</v>
      </c>
      <c r="H785" s="120">
        <v>43532</v>
      </c>
      <c r="I785" s="50">
        <v>0.69652777777777775</v>
      </c>
      <c r="J785" s="46" t="s">
        <v>17</v>
      </c>
      <c r="K785" s="51">
        <v>5.3</v>
      </c>
      <c r="L785" s="122" t="str">
        <f>IF(AND(Tabla_Ventas[[#This Row],[VENTA TOTAL]]&gt;=30,Tabla_Ventas[[#This Row],[TIPO DE CLIENTE/ Customer type]]="Member"),"PARTICIPA","NO PARTICIPA")</f>
        <v>NO PARTICIPA</v>
      </c>
    </row>
    <row r="786" spans="1:12" ht="19" x14ac:dyDescent="0.25">
      <c r="A786" s="45">
        <v>466615506</v>
      </c>
      <c r="B786" s="46" t="s">
        <v>16</v>
      </c>
      <c r="C786" s="46" t="s">
        <v>13</v>
      </c>
      <c r="D786" s="46" t="s">
        <v>21</v>
      </c>
      <c r="E786" s="47">
        <v>90.7</v>
      </c>
      <c r="F786" s="48">
        <v>6</v>
      </c>
      <c r="G786" s="78">
        <f t="shared" si="12"/>
        <v>544.20000000000005</v>
      </c>
      <c r="H786" s="120">
        <v>43522</v>
      </c>
      <c r="I786" s="50">
        <v>0.45277777777777778</v>
      </c>
      <c r="J786" s="46" t="s">
        <v>23</v>
      </c>
      <c r="K786" s="51">
        <v>5.3</v>
      </c>
      <c r="L786" s="122" t="str">
        <f>IF(AND(Tabla_Ventas[[#This Row],[VENTA TOTAL]]&gt;=30,Tabla_Ventas[[#This Row],[TIPO DE CLIENTE/ Customer type]]="Member"),"PARTICIPA","NO PARTICIPA")</f>
        <v>PARTICIPA</v>
      </c>
    </row>
    <row r="787" spans="1:12" ht="19" x14ac:dyDescent="0.25">
      <c r="A787" s="45">
        <v>296117041</v>
      </c>
      <c r="B787" s="46" t="s">
        <v>16</v>
      </c>
      <c r="C787" s="46" t="s">
        <v>13</v>
      </c>
      <c r="D787" s="46" t="s">
        <v>20</v>
      </c>
      <c r="E787" s="47">
        <v>27.07</v>
      </c>
      <c r="F787" s="48">
        <v>1</v>
      </c>
      <c r="G787" s="78">
        <f t="shared" si="12"/>
        <v>27.07</v>
      </c>
      <c r="H787" s="120">
        <v>43477</v>
      </c>
      <c r="I787" s="50">
        <v>0.83819444444444446</v>
      </c>
      <c r="J787" s="46" t="s">
        <v>15</v>
      </c>
      <c r="K787" s="51">
        <v>5.3</v>
      </c>
      <c r="L787" s="122" t="str">
        <f>IF(AND(Tabla_Ventas[[#This Row],[VENTA TOTAL]]&gt;=30,Tabla_Ventas[[#This Row],[TIPO DE CLIENTE/ Customer type]]="Member"),"PARTICIPA","NO PARTICIPA")</f>
        <v>NO PARTICIPA</v>
      </c>
    </row>
    <row r="788" spans="1:12" ht="19" x14ac:dyDescent="0.25">
      <c r="A788" s="45">
        <v>379176588</v>
      </c>
      <c r="B788" s="46" t="s">
        <v>12</v>
      </c>
      <c r="C788" s="46" t="s">
        <v>18</v>
      </c>
      <c r="D788" s="46" t="s">
        <v>22</v>
      </c>
      <c r="E788" s="47">
        <v>59.61</v>
      </c>
      <c r="F788" s="48">
        <v>10</v>
      </c>
      <c r="G788" s="78">
        <f t="shared" si="12"/>
        <v>596.1</v>
      </c>
      <c r="H788" s="120">
        <v>43538</v>
      </c>
      <c r="I788" s="50">
        <v>0.46319444444444446</v>
      </c>
      <c r="J788" s="46" t="s">
        <v>23</v>
      </c>
      <c r="K788" s="51">
        <v>5.3</v>
      </c>
      <c r="L788" s="122" t="str">
        <f>IF(AND(Tabla_Ventas[[#This Row],[VENTA TOTAL]]&gt;=30,Tabla_Ventas[[#This Row],[TIPO DE CLIENTE/ Customer type]]="Member"),"PARTICIPA","NO PARTICIPA")</f>
        <v>NO PARTICIPA</v>
      </c>
    </row>
    <row r="789" spans="1:12" ht="19" x14ac:dyDescent="0.25">
      <c r="A789" s="45">
        <v>585116748</v>
      </c>
      <c r="B789" s="46" t="s">
        <v>16</v>
      </c>
      <c r="C789" s="46" t="s">
        <v>13</v>
      </c>
      <c r="D789" s="46" t="s">
        <v>14</v>
      </c>
      <c r="E789" s="47">
        <v>96.8</v>
      </c>
      <c r="F789" s="48">
        <v>3</v>
      </c>
      <c r="G789" s="78">
        <f t="shared" si="12"/>
        <v>290.39999999999998</v>
      </c>
      <c r="H789" s="120">
        <v>43539</v>
      </c>
      <c r="I789" s="50">
        <v>0.54513888888888895</v>
      </c>
      <c r="J789" s="46" t="s">
        <v>23</v>
      </c>
      <c r="K789" s="51">
        <v>5.3</v>
      </c>
      <c r="L789" s="122" t="str">
        <f>IF(AND(Tabla_Ventas[[#This Row],[VENTA TOTAL]]&gt;=30,Tabla_Ventas[[#This Row],[TIPO DE CLIENTE/ Customer type]]="Member"),"PARTICIPA","NO PARTICIPA")</f>
        <v>PARTICIPA</v>
      </c>
    </row>
    <row r="790" spans="1:12" ht="19" x14ac:dyDescent="0.25">
      <c r="A790" s="45">
        <v>123354896</v>
      </c>
      <c r="B790" s="46" t="s">
        <v>12</v>
      </c>
      <c r="C790" s="46" t="s">
        <v>18</v>
      </c>
      <c r="D790" s="46" t="s">
        <v>14</v>
      </c>
      <c r="E790" s="47">
        <v>46.66</v>
      </c>
      <c r="F790" s="48">
        <v>9</v>
      </c>
      <c r="G790" s="78">
        <f t="shared" si="12"/>
        <v>419.93999999999994</v>
      </c>
      <c r="H790" s="120">
        <v>43513</v>
      </c>
      <c r="I790" s="50">
        <v>0.7993055555555556</v>
      </c>
      <c r="J790" s="46" t="s">
        <v>17</v>
      </c>
      <c r="K790" s="51">
        <v>5.3</v>
      </c>
      <c r="L790" s="122" t="str">
        <f>IF(AND(Tabla_Ventas[[#This Row],[VENTA TOTAL]]&gt;=30,Tabla_Ventas[[#This Row],[TIPO DE CLIENTE/ Customer type]]="Member"),"PARTICIPA","NO PARTICIPA")</f>
        <v>NO PARTICIPA</v>
      </c>
    </row>
    <row r="791" spans="1:12" ht="19" x14ac:dyDescent="0.25">
      <c r="A791" s="45">
        <v>725540677</v>
      </c>
      <c r="B791" s="46" t="s">
        <v>16</v>
      </c>
      <c r="C791" s="46" t="s">
        <v>13</v>
      </c>
      <c r="D791" s="46" t="s">
        <v>20</v>
      </c>
      <c r="E791" s="49">
        <v>85.6</v>
      </c>
      <c r="F791" s="48">
        <v>7</v>
      </c>
      <c r="G791" s="78">
        <f t="shared" si="12"/>
        <v>599.19999999999993</v>
      </c>
      <c r="H791" s="120">
        <v>43499</v>
      </c>
      <c r="I791" s="50">
        <v>0.57638888888888895</v>
      </c>
      <c r="J791" s="46" t="s">
        <v>23</v>
      </c>
      <c r="K791" s="51">
        <v>5.3</v>
      </c>
      <c r="L791" s="122" t="str">
        <f>IF(AND(Tabla_Ventas[[#This Row],[VENTA TOTAL]]&gt;=30,Tabla_Ventas[[#This Row],[TIPO DE CLIENTE/ Customer type]]="Member"),"PARTICIPA","NO PARTICIPA")</f>
        <v>PARTICIPA</v>
      </c>
    </row>
    <row r="792" spans="1:12" ht="19" x14ac:dyDescent="0.25">
      <c r="A792" s="45">
        <v>449166770</v>
      </c>
      <c r="B792" s="46" t="s">
        <v>19</v>
      </c>
      <c r="C792" s="46" t="s">
        <v>18</v>
      </c>
      <c r="D792" s="46" t="s">
        <v>20</v>
      </c>
      <c r="E792" s="49">
        <v>50.79</v>
      </c>
      <c r="F792" s="48">
        <v>5</v>
      </c>
      <c r="G792" s="78">
        <f t="shared" si="12"/>
        <v>253.95</v>
      </c>
      <c r="H792" s="120">
        <v>43515</v>
      </c>
      <c r="I792" s="50">
        <v>0.62013888888888891</v>
      </c>
      <c r="J792" s="46" t="s">
        <v>15</v>
      </c>
      <c r="K792" s="51">
        <v>5.3</v>
      </c>
      <c r="L792" s="122" t="str">
        <f>IF(AND(Tabla_Ventas[[#This Row],[VENTA TOTAL]]&gt;=30,Tabla_Ventas[[#This Row],[TIPO DE CLIENTE/ Customer type]]="Member"),"PARTICIPA","NO PARTICIPA")</f>
        <v>NO PARTICIPA</v>
      </c>
    </row>
    <row r="793" spans="1:12" ht="19" x14ac:dyDescent="0.25">
      <c r="A793" s="45">
        <v>859976048</v>
      </c>
      <c r="B793" s="46" t="s">
        <v>16</v>
      </c>
      <c r="C793" s="46" t="s">
        <v>13</v>
      </c>
      <c r="D793" s="46" t="s">
        <v>21</v>
      </c>
      <c r="E793" s="49">
        <v>84.25</v>
      </c>
      <c r="F793" s="48">
        <v>2</v>
      </c>
      <c r="G793" s="78">
        <f t="shared" si="12"/>
        <v>168.5</v>
      </c>
      <c r="H793" s="120">
        <v>43550</v>
      </c>
      <c r="I793" s="50">
        <v>0.59236111111111112</v>
      </c>
      <c r="J793" s="46" t="s">
        <v>15</v>
      </c>
      <c r="K793" s="51">
        <v>5.3</v>
      </c>
      <c r="L793" s="122" t="str">
        <f>IF(AND(Tabla_Ventas[[#This Row],[VENTA TOTAL]]&gt;=30,Tabla_Ventas[[#This Row],[TIPO DE CLIENTE/ Customer type]]="Member"),"PARTICIPA","NO PARTICIPA")</f>
        <v>PARTICIPA</v>
      </c>
    </row>
    <row r="794" spans="1:12" ht="19" x14ac:dyDescent="0.25">
      <c r="A794" s="45">
        <v>659658956</v>
      </c>
      <c r="B794" s="46" t="s">
        <v>16</v>
      </c>
      <c r="C794" s="46" t="s">
        <v>13</v>
      </c>
      <c r="D794" s="46" t="s">
        <v>22</v>
      </c>
      <c r="E794" s="47">
        <v>51.36</v>
      </c>
      <c r="F794" s="48">
        <v>1</v>
      </c>
      <c r="G794" s="78">
        <f t="shared" si="12"/>
        <v>51.36</v>
      </c>
      <c r="H794" s="120">
        <v>43481</v>
      </c>
      <c r="I794" s="50">
        <v>0.6430555555555556</v>
      </c>
      <c r="J794" s="46" t="s">
        <v>17</v>
      </c>
      <c r="K794" s="51">
        <v>5.2</v>
      </c>
      <c r="L794" s="122" t="str">
        <f>IF(AND(Tabla_Ventas[[#This Row],[VENTA TOTAL]]&gt;=30,Tabla_Ventas[[#This Row],[TIPO DE CLIENTE/ Customer type]]="Member"),"PARTICIPA","NO PARTICIPA")</f>
        <v>PARTICIPA</v>
      </c>
    </row>
    <row r="795" spans="1:12" ht="19" x14ac:dyDescent="0.25">
      <c r="A795" s="45">
        <v>638607125</v>
      </c>
      <c r="B795" s="46" t="s">
        <v>19</v>
      </c>
      <c r="C795" s="46" t="s">
        <v>18</v>
      </c>
      <c r="D795" s="46" t="s">
        <v>21</v>
      </c>
      <c r="E795" s="47">
        <v>99.56</v>
      </c>
      <c r="F795" s="48">
        <v>8</v>
      </c>
      <c r="G795" s="78">
        <f t="shared" si="12"/>
        <v>796.48</v>
      </c>
      <c r="H795" s="120">
        <v>43510</v>
      </c>
      <c r="I795" s="50">
        <v>0.7104166666666667</v>
      </c>
      <c r="J795" s="46" t="s">
        <v>15</v>
      </c>
      <c r="K795" s="51">
        <v>5.2</v>
      </c>
      <c r="L795" s="122" t="str">
        <f>IF(AND(Tabla_Ventas[[#This Row],[VENTA TOTAL]]&gt;=30,Tabla_Ventas[[#This Row],[TIPO DE CLIENTE/ Customer type]]="Member"),"PARTICIPA","NO PARTICIPA")</f>
        <v>NO PARTICIPA</v>
      </c>
    </row>
    <row r="796" spans="1:12" ht="19" x14ac:dyDescent="0.25">
      <c r="A796" s="45">
        <v>290682984</v>
      </c>
      <c r="B796" s="46" t="s">
        <v>19</v>
      </c>
      <c r="C796" s="46" t="s">
        <v>18</v>
      </c>
      <c r="D796" s="46" t="s">
        <v>25</v>
      </c>
      <c r="E796" s="47">
        <v>23.75</v>
      </c>
      <c r="F796" s="48">
        <v>4</v>
      </c>
      <c r="G796" s="78">
        <f t="shared" si="12"/>
        <v>95</v>
      </c>
      <c r="H796" s="120">
        <v>43540</v>
      </c>
      <c r="I796" s="50">
        <v>0.47361111111111115</v>
      </c>
      <c r="J796" s="46" t="s">
        <v>23</v>
      </c>
      <c r="K796" s="51">
        <v>5.2</v>
      </c>
      <c r="L796" s="122" t="str">
        <f>IF(AND(Tabla_Ventas[[#This Row],[VENTA TOTAL]]&gt;=30,Tabla_Ventas[[#This Row],[TIPO DE CLIENTE/ Customer type]]="Member"),"PARTICIPA","NO PARTICIPA")</f>
        <v>NO PARTICIPA</v>
      </c>
    </row>
    <row r="797" spans="1:12" ht="19" x14ac:dyDescent="0.25">
      <c r="A797" s="45">
        <v>283799594</v>
      </c>
      <c r="B797" s="46" t="s">
        <v>16</v>
      </c>
      <c r="C797" s="46" t="s">
        <v>18</v>
      </c>
      <c r="D797" s="46" t="s">
        <v>24</v>
      </c>
      <c r="E797" s="47">
        <v>48.51</v>
      </c>
      <c r="F797" s="48">
        <v>7</v>
      </c>
      <c r="G797" s="78">
        <f t="shared" si="12"/>
        <v>339.57</v>
      </c>
      <c r="H797" s="120">
        <v>43490</v>
      </c>
      <c r="I797" s="50">
        <v>0.5625</v>
      </c>
      <c r="J797" s="46" t="s">
        <v>15</v>
      </c>
      <c r="K797" s="51">
        <v>5.2</v>
      </c>
      <c r="L797" s="122" t="str">
        <f>IF(AND(Tabla_Ventas[[#This Row],[VENTA TOTAL]]&gt;=30,Tabla_Ventas[[#This Row],[TIPO DE CLIENTE/ Customer type]]="Member"),"PARTICIPA","NO PARTICIPA")</f>
        <v>NO PARTICIPA</v>
      </c>
    </row>
    <row r="798" spans="1:12" ht="19" x14ac:dyDescent="0.25">
      <c r="A798" s="45">
        <v>174363675</v>
      </c>
      <c r="B798" s="46" t="s">
        <v>12</v>
      </c>
      <c r="C798" s="46" t="s">
        <v>13</v>
      </c>
      <c r="D798" s="46" t="s">
        <v>24</v>
      </c>
      <c r="E798" s="47">
        <v>99.37</v>
      </c>
      <c r="F798" s="48">
        <v>2</v>
      </c>
      <c r="G798" s="78">
        <f t="shared" si="12"/>
        <v>198.74</v>
      </c>
      <c r="H798" s="120">
        <v>43510</v>
      </c>
      <c r="I798" s="50">
        <v>0.7284722222222223</v>
      </c>
      <c r="J798" s="46" t="s">
        <v>23</v>
      </c>
      <c r="K798" s="51">
        <v>5.2</v>
      </c>
      <c r="L798" s="122" t="str">
        <f>IF(AND(Tabla_Ventas[[#This Row],[VENTA TOTAL]]&gt;=30,Tabla_Ventas[[#This Row],[TIPO DE CLIENTE/ Customer type]]="Member"),"PARTICIPA","NO PARTICIPA")</f>
        <v>PARTICIPA</v>
      </c>
    </row>
    <row r="799" spans="1:12" ht="19" x14ac:dyDescent="0.25">
      <c r="A799" s="45">
        <v>692278933</v>
      </c>
      <c r="B799" s="46" t="s">
        <v>16</v>
      </c>
      <c r="C799" s="46" t="s">
        <v>18</v>
      </c>
      <c r="D799" s="46" t="s">
        <v>14</v>
      </c>
      <c r="E799" s="47">
        <v>57.95</v>
      </c>
      <c r="F799" s="48">
        <v>6</v>
      </c>
      <c r="G799" s="78">
        <f t="shared" si="12"/>
        <v>347.70000000000005</v>
      </c>
      <c r="H799" s="120">
        <v>43520</v>
      </c>
      <c r="I799" s="50">
        <v>0.54305555555555551</v>
      </c>
      <c r="J799" s="46" t="s">
        <v>23</v>
      </c>
      <c r="K799" s="51">
        <v>5.2</v>
      </c>
      <c r="L799" s="122" t="str">
        <f>IF(AND(Tabla_Ventas[[#This Row],[VENTA TOTAL]]&gt;=30,Tabla_Ventas[[#This Row],[TIPO DE CLIENTE/ Customer type]]="Member"),"PARTICIPA","NO PARTICIPA")</f>
        <v>NO PARTICIPA</v>
      </c>
    </row>
    <row r="800" spans="1:12" ht="19" x14ac:dyDescent="0.25">
      <c r="A800" s="45">
        <v>554422417</v>
      </c>
      <c r="B800" s="46" t="s">
        <v>12</v>
      </c>
      <c r="C800" s="46" t="s">
        <v>18</v>
      </c>
      <c r="D800" s="46" t="s">
        <v>14</v>
      </c>
      <c r="E800" s="47">
        <v>95.44</v>
      </c>
      <c r="F800" s="48">
        <v>10</v>
      </c>
      <c r="G800" s="78">
        <f t="shared" si="12"/>
        <v>954.4</v>
      </c>
      <c r="H800" s="120">
        <v>43709</v>
      </c>
      <c r="I800" s="50">
        <v>0.57291666666666663</v>
      </c>
      <c r="J800" s="46" t="s">
        <v>23</v>
      </c>
      <c r="K800" s="51">
        <v>5.2</v>
      </c>
      <c r="L800" s="122" t="str">
        <f>IF(AND(Tabla_Ventas[[#This Row],[VENTA TOTAL]]&gt;=30,Tabla_Ventas[[#This Row],[TIPO DE CLIENTE/ Customer type]]="Member"),"PARTICIPA","NO PARTICIPA")</f>
        <v>NO PARTICIPA</v>
      </c>
    </row>
    <row r="801" spans="1:12" ht="19" x14ac:dyDescent="0.25">
      <c r="A801" s="45">
        <v>730709830</v>
      </c>
      <c r="B801" s="46" t="s">
        <v>12</v>
      </c>
      <c r="C801" s="46" t="s">
        <v>18</v>
      </c>
      <c r="D801" s="46" t="s">
        <v>25</v>
      </c>
      <c r="E801" s="47">
        <v>70.11</v>
      </c>
      <c r="F801" s="48">
        <v>6</v>
      </c>
      <c r="G801" s="78">
        <f t="shared" si="12"/>
        <v>420.65999999999997</v>
      </c>
      <c r="H801" s="120">
        <v>43538</v>
      </c>
      <c r="I801" s="50">
        <v>0.74583333333333324</v>
      </c>
      <c r="J801" s="46" t="s">
        <v>17</v>
      </c>
      <c r="K801" s="51">
        <v>5.2</v>
      </c>
      <c r="L801" s="122" t="str">
        <f>IF(AND(Tabla_Ventas[[#This Row],[VENTA TOTAL]]&gt;=30,Tabla_Ventas[[#This Row],[TIPO DE CLIENTE/ Customer type]]="Member"),"PARTICIPA","NO PARTICIPA")</f>
        <v>NO PARTICIPA</v>
      </c>
    </row>
    <row r="802" spans="1:12" ht="19" x14ac:dyDescent="0.25">
      <c r="A802" s="45">
        <v>559989873</v>
      </c>
      <c r="B802" s="46" t="s">
        <v>19</v>
      </c>
      <c r="C802" s="46" t="s">
        <v>13</v>
      </c>
      <c r="D802" s="46" t="s">
        <v>22</v>
      </c>
      <c r="E802" s="49">
        <v>53.65</v>
      </c>
      <c r="F802" s="48">
        <v>7</v>
      </c>
      <c r="G802" s="78">
        <f t="shared" si="12"/>
        <v>375.55</v>
      </c>
      <c r="H802" s="120">
        <v>43506</v>
      </c>
      <c r="I802" s="50">
        <v>0.53888888888888886</v>
      </c>
      <c r="J802" s="46" t="s">
        <v>17</v>
      </c>
      <c r="K802" s="51">
        <v>5.2</v>
      </c>
      <c r="L802" s="122" t="str">
        <f>IF(AND(Tabla_Ventas[[#This Row],[VENTA TOTAL]]&gt;=30,Tabla_Ventas[[#This Row],[TIPO DE CLIENTE/ Customer type]]="Member"),"PARTICIPA","NO PARTICIPA")</f>
        <v>PARTICIPA</v>
      </c>
    </row>
    <row r="803" spans="1:12" ht="19" x14ac:dyDescent="0.25">
      <c r="A803" s="45">
        <v>318120304</v>
      </c>
      <c r="B803" s="46" t="s">
        <v>19</v>
      </c>
      <c r="C803" s="46" t="s">
        <v>18</v>
      </c>
      <c r="D803" s="46" t="s">
        <v>22</v>
      </c>
      <c r="E803" s="49">
        <v>30.61</v>
      </c>
      <c r="F803" s="48">
        <v>1</v>
      </c>
      <c r="G803" s="78">
        <f t="shared" si="12"/>
        <v>30.61</v>
      </c>
      <c r="H803" s="120">
        <v>43488</v>
      </c>
      <c r="I803" s="50">
        <v>0.51388888888888895</v>
      </c>
      <c r="J803" s="46" t="s">
        <v>17</v>
      </c>
      <c r="K803" s="51">
        <v>5.2</v>
      </c>
      <c r="L803" s="122" t="str">
        <f>IF(AND(Tabla_Ventas[[#This Row],[VENTA TOTAL]]&gt;=30,Tabla_Ventas[[#This Row],[TIPO DE CLIENTE/ Customer type]]="Member"),"PARTICIPA","NO PARTICIPA")</f>
        <v>NO PARTICIPA</v>
      </c>
    </row>
    <row r="804" spans="1:12" ht="19" x14ac:dyDescent="0.25">
      <c r="A804" s="45">
        <v>266206657</v>
      </c>
      <c r="B804" s="46" t="s">
        <v>16</v>
      </c>
      <c r="C804" s="46" t="s">
        <v>13</v>
      </c>
      <c r="D804" s="46" t="s">
        <v>24</v>
      </c>
      <c r="E804" s="49">
        <v>55.04</v>
      </c>
      <c r="F804" s="48">
        <v>7</v>
      </c>
      <c r="G804" s="78">
        <f t="shared" si="12"/>
        <v>385.28</v>
      </c>
      <c r="H804" s="120">
        <v>43509</v>
      </c>
      <c r="I804" s="50">
        <v>0.81874999999999998</v>
      </c>
      <c r="J804" s="46" t="s">
        <v>17</v>
      </c>
      <c r="K804" s="51">
        <v>5.2</v>
      </c>
      <c r="L804" s="122" t="str">
        <f>IF(AND(Tabla_Ventas[[#This Row],[VENTA TOTAL]]&gt;=30,Tabla_Ventas[[#This Row],[TIPO DE CLIENTE/ Customer type]]="Member"),"PARTICIPA","NO PARTICIPA")</f>
        <v>PARTICIPA</v>
      </c>
    </row>
    <row r="805" spans="1:12" ht="19" x14ac:dyDescent="0.25">
      <c r="A805" s="45">
        <v>457131708</v>
      </c>
      <c r="B805" s="46" t="s">
        <v>12</v>
      </c>
      <c r="C805" s="46" t="s">
        <v>13</v>
      </c>
      <c r="D805" s="46" t="s">
        <v>22</v>
      </c>
      <c r="E805" s="49">
        <v>65.23</v>
      </c>
      <c r="F805" s="48">
        <v>10</v>
      </c>
      <c r="G805" s="78">
        <f t="shared" si="12"/>
        <v>652.30000000000007</v>
      </c>
      <c r="H805" s="120">
        <v>43473</v>
      </c>
      <c r="I805" s="50">
        <v>0.79652777777777783</v>
      </c>
      <c r="J805" s="46" t="s">
        <v>15</v>
      </c>
      <c r="K805" s="51">
        <v>5.2</v>
      </c>
      <c r="L805" s="122" t="str">
        <f>IF(AND(Tabla_Ventas[[#This Row],[VENTA TOTAL]]&gt;=30,Tabla_Ventas[[#This Row],[TIPO DE CLIENTE/ Customer type]]="Member"),"PARTICIPA","NO PARTICIPA")</f>
        <v>PARTICIPA</v>
      </c>
    </row>
    <row r="806" spans="1:12" ht="19" x14ac:dyDescent="0.25">
      <c r="A806" s="45">
        <v>538220304</v>
      </c>
      <c r="B806" s="46" t="s">
        <v>16</v>
      </c>
      <c r="C806" s="46" t="s">
        <v>18</v>
      </c>
      <c r="D806" s="46" t="s">
        <v>21</v>
      </c>
      <c r="E806" s="49">
        <v>64.95</v>
      </c>
      <c r="F806" s="48">
        <v>10</v>
      </c>
      <c r="G806" s="78">
        <f t="shared" si="12"/>
        <v>649.5</v>
      </c>
      <c r="H806" s="120">
        <v>43548</v>
      </c>
      <c r="I806" s="50">
        <v>0.76874999999999993</v>
      </c>
      <c r="J806" s="46" t="s">
        <v>23</v>
      </c>
      <c r="K806" s="51">
        <v>5.2</v>
      </c>
      <c r="L806" s="122" t="str">
        <f>IF(AND(Tabla_Ventas[[#This Row],[VENTA TOTAL]]&gt;=30,Tabla_Ventas[[#This Row],[TIPO DE CLIENTE/ Customer type]]="Member"),"PARTICIPA","NO PARTICIPA")</f>
        <v>NO PARTICIPA</v>
      </c>
    </row>
    <row r="807" spans="1:12" ht="19" x14ac:dyDescent="0.25">
      <c r="A807" s="45">
        <v>838021821</v>
      </c>
      <c r="B807" s="46" t="s">
        <v>16</v>
      </c>
      <c r="C807" s="46" t="s">
        <v>13</v>
      </c>
      <c r="D807" s="46" t="s">
        <v>25</v>
      </c>
      <c r="E807" s="49">
        <v>12.73</v>
      </c>
      <c r="F807" s="48">
        <v>2</v>
      </c>
      <c r="G807" s="78">
        <f t="shared" si="12"/>
        <v>25.46</v>
      </c>
      <c r="H807" s="120">
        <v>43518</v>
      </c>
      <c r="I807" s="50">
        <v>0.50694444444444442</v>
      </c>
      <c r="J807" s="46" t="s">
        <v>15</v>
      </c>
      <c r="K807" s="51">
        <v>5.2</v>
      </c>
      <c r="L807" s="122" t="str">
        <f>IF(AND(Tabla_Ventas[[#This Row],[VENTA TOTAL]]&gt;=30,Tabla_Ventas[[#This Row],[TIPO DE CLIENTE/ Customer type]]="Member"),"PARTICIPA","NO PARTICIPA")</f>
        <v>NO PARTICIPA</v>
      </c>
    </row>
    <row r="808" spans="1:12" ht="19" x14ac:dyDescent="0.25">
      <c r="A808" s="45">
        <v>321497382</v>
      </c>
      <c r="B808" s="46" t="s">
        <v>12</v>
      </c>
      <c r="C808" s="46" t="s">
        <v>13</v>
      </c>
      <c r="D808" s="46" t="s">
        <v>14</v>
      </c>
      <c r="E808" s="49">
        <v>88.31</v>
      </c>
      <c r="F808" s="48">
        <v>1</v>
      </c>
      <c r="G808" s="78">
        <f t="shared" si="12"/>
        <v>88.31</v>
      </c>
      <c r="H808" s="120">
        <v>43511</v>
      </c>
      <c r="I808" s="50">
        <v>0.73472222222222217</v>
      </c>
      <c r="J808" s="46" t="s">
        <v>15</v>
      </c>
      <c r="K808" s="51">
        <v>5.2</v>
      </c>
      <c r="L808" s="122" t="str">
        <f>IF(AND(Tabla_Ventas[[#This Row],[VENTA TOTAL]]&gt;=30,Tabla_Ventas[[#This Row],[TIPO DE CLIENTE/ Customer type]]="Member"),"PARTICIPA","NO PARTICIPA")</f>
        <v>PARTICIPA</v>
      </c>
    </row>
    <row r="809" spans="1:12" ht="19" x14ac:dyDescent="0.25">
      <c r="A809" s="45">
        <v>371855789</v>
      </c>
      <c r="B809" s="46" t="s">
        <v>16</v>
      </c>
      <c r="C809" s="46" t="s">
        <v>18</v>
      </c>
      <c r="D809" s="46" t="s">
        <v>20</v>
      </c>
      <c r="E809" s="47">
        <v>87.98</v>
      </c>
      <c r="F809" s="48">
        <v>3</v>
      </c>
      <c r="G809" s="78">
        <f t="shared" si="12"/>
        <v>263.94</v>
      </c>
      <c r="H809" s="120">
        <v>43529</v>
      </c>
      <c r="I809" s="50">
        <v>0.44444444444444442</v>
      </c>
      <c r="J809" s="46" t="s">
        <v>17</v>
      </c>
      <c r="K809" s="51">
        <v>5.0999999999999996</v>
      </c>
      <c r="L809" s="122" t="str">
        <f>IF(AND(Tabla_Ventas[[#This Row],[VENTA TOTAL]]&gt;=30,Tabla_Ventas[[#This Row],[TIPO DE CLIENTE/ Customer type]]="Member"),"PARTICIPA","NO PARTICIPA")</f>
        <v>NO PARTICIPA</v>
      </c>
    </row>
    <row r="810" spans="1:12" ht="19" x14ac:dyDescent="0.25">
      <c r="A810" s="45">
        <v>640492076</v>
      </c>
      <c r="B810" s="46" t="s">
        <v>16</v>
      </c>
      <c r="C810" s="46" t="s">
        <v>18</v>
      </c>
      <c r="D810" s="46" t="s">
        <v>14</v>
      </c>
      <c r="E810" s="47">
        <v>83.78</v>
      </c>
      <c r="F810" s="48">
        <v>8</v>
      </c>
      <c r="G810" s="78">
        <f t="shared" si="12"/>
        <v>670.24</v>
      </c>
      <c r="H810" s="120">
        <v>43739</v>
      </c>
      <c r="I810" s="50">
        <v>0.61736111111111114</v>
      </c>
      <c r="J810" s="46" t="s">
        <v>23</v>
      </c>
      <c r="K810" s="51">
        <v>5.0999999999999996</v>
      </c>
      <c r="L810" s="122" t="str">
        <f>IF(AND(Tabla_Ventas[[#This Row],[VENTA TOTAL]]&gt;=30,Tabla_Ventas[[#This Row],[TIPO DE CLIENTE/ Customer type]]="Member"),"PARTICIPA","NO PARTICIPA")</f>
        <v>NO PARTICIPA</v>
      </c>
    </row>
    <row r="811" spans="1:12" ht="19" x14ac:dyDescent="0.25">
      <c r="A811" s="45">
        <v>595115460</v>
      </c>
      <c r="B811" s="46" t="s">
        <v>19</v>
      </c>
      <c r="C811" s="46" t="s">
        <v>18</v>
      </c>
      <c r="D811" s="46" t="s">
        <v>20</v>
      </c>
      <c r="E811" s="47">
        <v>96.58</v>
      </c>
      <c r="F811" s="48">
        <v>2</v>
      </c>
      <c r="G811" s="78">
        <f t="shared" si="12"/>
        <v>193.16</v>
      </c>
      <c r="H811" s="120">
        <v>43539</v>
      </c>
      <c r="I811" s="50">
        <v>0.42499999999999999</v>
      </c>
      <c r="J811" s="46" t="s">
        <v>15</v>
      </c>
      <c r="K811" s="51">
        <v>5.0999999999999996</v>
      </c>
      <c r="L811" s="122" t="str">
        <f>IF(AND(Tabla_Ventas[[#This Row],[VENTA TOTAL]]&gt;=30,Tabla_Ventas[[#This Row],[TIPO DE CLIENTE/ Customer type]]="Member"),"PARTICIPA","NO PARTICIPA")</f>
        <v>NO PARTICIPA</v>
      </c>
    </row>
    <row r="812" spans="1:12" ht="19" x14ac:dyDescent="0.25">
      <c r="A812" s="45">
        <v>873510671</v>
      </c>
      <c r="B812" s="46" t="s">
        <v>19</v>
      </c>
      <c r="C812" s="46" t="s">
        <v>13</v>
      </c>
      <c r="D812" s="46" t="s">
        <v>14</v>
      </c>
      <c r="E812" s="47">
        <v>21.98</v>
      </c>
      <c r="F812" s="48">
        <v>7</v>
      </c>
      <c r="G812" s="78">
        <f t="shared" si="12"/>
        <v>153.86000000000001</v>
      </c>
      <c r="H812" s="120">
        <v>43739</v>
      </c>
      <c r="I812" s="50">
        <v>0.6958333333333333</v>
      </c>
      <c r="J812" s="46" t="s">
        <v>17</v>
      </c>
      <c r="K812" s="51">
        <v>5.0999999999999996</v>
      </c>
      <c r="L812" s="122" t="str">
        <f>IF(AND(Tabla_Ventas[[#This Row],[VENTA TOTAL]]&gt;=30,Tabla_Ventas[[#This Row],[TIPO DE CLIENTE/ Customer type]]="Member"),"PARTICIPA","NO PARTICIPA")</f>
        <v>PARTICIPA</v>
      </c>
    </row>
    <row r="813" spans="1:12" ht="19" x14ac:dyDescent="0.25">
      <c r="A813" s="45">
        <v>766857061</v>
      </c>
      <c r="B813" s="46" t="s">
        <v>16</v>
      </c>
      <c r="C813" s="46" t="s">
        <v>18</v>
      </c>
      <c r="D813" s="46" t="s">
        <v>20</v>
      </c>
      <c r="E813" s="47">
        <v>87.87</v>
      </c>
      <c r="F813" s="48">
        <v>10</v>
      </c>
      <c r="G813" s="78">
        <f t="shared" si="12"/>
        <v>878.7</v>
      </c>
      <c r="H813" s="120">
        <v>43553</v>
      </c>
      <c r="I813" s="50">
        <v>0.43402777777777773</v>
      </c>
      <c r="J813" s="46" t="s">
        <v>17</v>
      </c>
      <c r="K813" s="51">
        <v>5.0999999999999996</v>
      </c>
      <c r="L813" s="122" t="str">
        <f>IF(AND(Tabla_Ventas[[#This Row],[VENTA TOTAL]]&gt;=30,Tabla_Ventas[[#This Row],[TIPO DE CLIENTE/ Customer type]]="Member"),"PARTICIPA","NO PARTICIPA")</f>
        <v>NO PARTICIPA</v>
      </c>
    </row>
    <row r="814" spans="1:12" ht="19" x14ac:dyDescent="0.25">
      <c r="A814" s="45">
        <v>573589734</v>
      </c>
      <c r="B814" s="46" t="s">
        <v>16</v>
      </c>
      <c r="C814" s="46" t="s">
        <v>18</v>
      </c>
      <c r="D814" s="46" t="s">
        <v>22</v>
      </c>
      <c r="E814" s="47">
        <v>30.37</v>
      </c>
      <c r="F814" s="48">
        <v>3</v>
      </c>
      <c r="G814" s="78">
        <f t="shared" si="12"/>
        <v>91.11</v>
      </c>
      <c r="H814" s="120">
        <v>43552</v>
      </c>
      <c r="I814" s="50">
        <v>0.57013888888888886</v>
      </c>
      <c r="J814" s="46" t="s">
        <v>17</v>
      </c>
      <c r="K814" s="51">
        <v>5.0999999999999996</v>
      </c>
      <c r="L814" s="122" t="str">
        <f>IF(AND(Tabla_Ventas[[#This Row],[VENTA TOTAL]]&gt;=30,Tabla_Ventas[[#This Row],[TIPO DE CLIENTE/ Customer type]]="Member"),"PARTICIPA","NO PARTICIPA")</f>
        <v>NO PARTICIPA</v>
      </c>
    </row>
    <row r="815" spans="1:12" ht="19" x14ac:dyDescent="0.25">
      <c r="A815" s="45">
        <v>633911052</v>
      </c>
      <c r="B815" s="46" t="s">
        <v>19</v>
      </c>
      <c r="C815" s="46" t="s">
        <v>18</v>
      </c>
      <c r="D815" s="46" t="s">
        <v>25</v>
      </c>
      <c r="E815" s="47">
        <v>12.03</v>
      </c>
      <c r="F815" s="48">
        <v>2</v>
      </c>
      <c r="G815" s="78">
        <f t="shared" si="12"/>
        <v>24.06</v>
      </c>
      <c r="H815" s="120">
        <v>43492</v>
      </c>
      <c r="I815" s="50">
        <v>0.66041666666666665</v>
      </c>
      <c r="J815" s="46" t="s">
        <v>23</v>
      </c>
      <c r="K815" s="51">
        <v>5.0999999999999996</v>
      </c>
      <c r="L815" s="122" t="str">
        <f>IF(AND(Tabla_Ventas[[#This Row],[VENTA TOTAL]]&gt;=30,Tabla_Ventas[[#This Row],[TIPO DE CLIENTE/ Customer type]]="Member"),"PARTICIPA","NO PARTICIPA")</f>
        <v>NO PARTICIPA</v>
      </c>
    </row>
    <row r="816" spans="1:12" ht="19" x14ac:dyDescent="0.25">
      <c r="A816" s="45">
        <v>531801784</v>
      </c>
      <c r="B816" s="46" t="s">
        <v>19</v>
      </c>
      <c r="C816" s="46" t="s">
        <v>18</v>
      </c>
      <c r="D816" s="46" t="s">
        <v>21</v>
      </c>
      <c r="E816" s="47">
        <v>26.02</v>
      </c>
      <c r="F816" s="48">
        <v>7</v>
      </c>
      <c r="G816" s="78">
        <f t="shared" si="12"/>
        <v>182.14</v>
      </c>
      <c r="H816" s="120">
        <v>43552</v>
      </c>
      <c r="I816" s="50">
        <v>0.73472222222222217</v>
      </c>
      <c r="J816" s="46" t="s">
        <v>23</v>
      </c>
      <c r="K816" s="51">
        <v>5.0999999999999996</v>
      </c>
      <c r="L816" s="122" t="str">
        <f>IF(AND(Tabla_Ventas[[#This Row],[VENTA TOTAL]]&gt;=30,Tabla_Ventas[[#This Row],[TIPO DE CLIENTE/ Customer type]]="Member"),"PARTICIPA","NO PARTICIPA")</f>
        <v>NO PARTICIPA</v>
      </c>
    </row>
    <row r="817" spans="1:12" ht="19" x14ac:dyDescent="0.25">
      <c r="A817" s="45">
        <v>244080162</v>
      </c>
      <c r="B817" s="46" t="s">
        <v>16</v>
      </c>
      <c r="C817" s="46" t="s">
        <v>18</v>
      </c>
      <c r="D817" s="46" t="s">
        <v>20</v>
      </c>
      <c r="E817" s="47">
        <v>34.21</v>
      </c>
      <c r="F817" s="48">
        <v>10</v>
      </c>
      <c r="G817" s="78">
        <f t="shared" si="12"/>
        <v>342.1</v>
      </c>
      <c r="H817" s="120">
        <v>43497</v>
      </c>
      <c r="I817" s="50">
        <v>0.54166666666666663</v>
      </c>
      <c r="J817" s="46" t="s">
        <v>23</v>
      </c>
      <c r="K817" s="51">
        <v>5.0999999999999996</v>
      </c>
      <c r="L817" s="122" t="str">
        <f>IF(AND(Tabla_Ventas[[#This Row],[VENTA TOTAL]]&gt;=30,Tabla_Ventas[[#This Row],[TIPO DE CLIENTE/ Customer type]]="Member"),"PARTICIPA","NO PARTICIPA")</f>
        <v>NO PARTICIPA</v>
      </c>
    </row>
    <row r="818" spans="1:12" ht="19" x14ac:dyDescent="0.25">
      <c r="A818" s="45">
        <v>602809671</v>
      </c>
      <c r="B818" s="46" t="s">
        <v>12</v>
      </c>
      <c r="C818" s="46" t="s">
        <v>13</v>
      </c>
      <c r="D818" s="46" t="s">
        <v>25</v>
      </c>
      <c r="E818" s="47">
        <v>15.95</v>
      </c>
      <c r="F818" s="48">
        <v>6</v>
      </c>
      <c r="G818" s="78">
        <f t="shared" si="12"/>
        <v>95.699999999999989</v>
      </c>
      <c r="H818" s="120">
        <v>43710</v>
      </c>
      <c r="I818" s="50">
        <v>0.71875</v>
      </c>
      <c r="J818" s="46" t="s">
        <v>15</v>
      </c>
      <c r="K818" s="51">
        <v>5.0999999999999996</v>
      </c>
      <c r="L818" s="122" t="str">
        <f>IF(AND(Tabla_Ventas[[#This Row],[VENTA TOTAL]]&gt;=30,Tabla_Ventas[[#This Row],[TIPO DE CLIENTE/ Customer type]]="Member"),"PARTICIPA","NO PARTICIPA")</f>
        <v>PARTICIPA</v>
      </c>
    </row>
    <row r="819" spans="1:12" ht="19" x14ac:dyDescent="0.25">
      <c r="A819" s="45">
        <v>358889262</v>
      </c>
      <c r="B819" s="46" t="s">
        <v>12</v>
      </c>
      <c r="C819" s="46" t="s">
        <v>13</v>
      </c>
      <c r="D819" s="46" t="s">
        <v>24</v>
      </c>
      <c r="E819" s="47">
        <v>87.48</v>
      </c>
      <c r="F819" s="48">
        <v>6</v>
      </c>
      <c r="G819" s="78">
        <f t="shared" si="12"/>
        <v>524.88</v>
      </c>
      <c r="H819" s="120">
        <v>43467</v>
      </c>
      <c r="I819" s="50">
        <v>0.77986111111111101</v>
      </c>
      <c r="J819" s="46" t="s">
        <v>17</v>
      </c>
      <c r="K819" s="51">
        <v>5.0999999999999996</v>
      </c>
      <c r="L819" s="122" t="str">
        <f>IF(AND(Tabla_Ventas[[#This Row],[VENTA TOTAL]]&gt;=30,Tabla_Ventas[[#This Row],[TIPO DE CLIENTE/ Customer type]]="Member"),"PARTICIPA","NO PARTICIPA")</f>
        <v>PARTICIPA</v>
      </c>
    </row>
    <row r="820" spans="1:12" ht="19" x14ac:dyDescent="0.25">
      <c r="A820" s="45">
        <v>149157606</v>
      </c>
      <c r="B820" s="46" t="s">
        <v>12</v>
      </c>
      <c r="C820" s="46" t="s">
        <v>13</v>
      </c>
      <c r="D820" s="46" t="s">
        <v>14</v>
      </c>
      <c r="E820" s="49">
        <v>37.32</v>
      </c>
      <c r="F820" s="48">
        <v>9</v>
      </c>
      <c r="G820" s="78">
        <f t="shared" si="12"/>
        <v>335.88</v>
      </c>
      <c r="H820" s="120">
        <v>43529</v>
      </c>
      <c r="I820" s="50">
        <v>0.64652777777777781</v>
      </c>
      <c r="J820" s="46" t="s">
        <v>17</v>
      </c>
      <c r="K820" s="51">
        <v>5.0999999999999996</v>
      </c>
      <c r="L820" s="122" t="str">
        <f>IF(AND(Tabla_Ventas[[#This Row],[VENTA TOTAL]]&gt;=30,Tabla_Ventas[[#This Row],[TIPO DE CLIENTE/ Customer type]]="Member"),"PARTICIPA","NO PARTICIPA")</f>
        <v>PARTICIPA</v>
      </c>
    </row>
    <row r="821" spans="1:12" ht="19" x14ac:dyDescent="0.25">
      <c r="A821" s="45">
        <v>678790726</v>
      </c>
      <c r="B821" s="46" t="s">
        <v>16</v>
      </c>
      <c r="C821" s="46" t="s">
        <v>13</v>
      </c>
      <c r="D821" s="46" t="s">
        <v>14</v>
      </c>
      <c r="E821" s="49">
        <v>90.63</v>
      </c>
      <c r="F821" s="48">
        <v>9</v>
      </c>
      <c r="G821" s="78">
        <f t="shared" si="12"/>
        <v>815.67</v>
      </c>
      <c r="H821" s="120">
        <v>43483</v>
      </c>
      <c r="I821" s="50">
        <v>0.64444444444444449</v>
      </c>
      <c r="J821" s="46" t="s">
        <v>23</v>
      </c>
      <c r="K821" s="51">
        <v>5.0999999999999996</v>
      </c>
      <c r="L821" s="122" t="str">
        <f>IF(AND(Tabla_Ventas[[#This Row],[VENTA TOTAL]]&gt;=30,Tabla_Ventas[[#This Row],[TIPO DE CLIENTE/ Customer type]]="Member"),"PARTICIPA","NO PARTICIPA")</f>
        <v>PARTICIPA</v>
      </c>
    </row>
    <row r="822" spans="1:12" ht="19" x14ac:dyDescent="0.25">
      <c r="A822" s="45">
        <v>324416833</v>
      </c>
      <c r="B822" s="46" t="s">
        <v>16</v>
      </c>
      <c r="C822" s="46" t="s">
        <v>13</v>
      </c>
      <c r="D822" s="46" t="s">
        <v>21</v>
      </c>
      <c r="E822" s="49">
        <v>30.2</v>
      </c>
      <c r="F822" s="48">
        <v>8</v>
      </c>
      <c r="G822" s="78">
        <f t="shared" si="12"/>
        <v>241.6</v>
      </c>
      <c r="H822" s="120">
        <v>43527</v>
      </c>
      <c r="I822" s="50">
        <v>0.8125</v>
      </c>
      <c r="J822" s="46" t="s">
        <v>17</v>
      </c>
      <c r="K822" s="51">
        <v>5.0999999999999996</v>
      </c>
      <c r="L822" s="122" t="str">
        <f>IF(AND(Tabla_Ventas[[#This Row],[VENTA TOTAL]]&gt;=30,Tabla_Ventas[[#This Row],[TIPO DE CLIENTE/ Customer type]]="Member"),"PARTICIPA","NO PARTICIPA")</f>
        <v>PARTICIPA</v>
      </c>
    </row>
    <row r="823" spans="1:12" ht="19" x14ac:dyDescent="0.25">
      <c r="A823" s="45">
        <v>670717306</v>
      </c>
      <c r="B823" s="46" t="s">
        <v>12</v>
      </c>
      <c r="C823" s="46" t="s">
        <v>18</v>
      </c>
      <c r="D823" s="46" t="s">
        <v>14</v>
      </c>
      <c r="E823" s="49">
        <v>44.63</v>
      </c>
      <c r="F823" s="48">
        <v>6</v>
      </c>
      <c r="G823" s="78">
        <f t="shared" si="12"/>
        <v>267.78000000000003</v>
      </c>
      <c r="H823" s="120">
        <v>43467</v>
      </c>
      <c r="I823" s="50">
        <v>0.83888888888888891</v>
      </c>
      <c r="J823" s="46" t="s">
        <v>15</v>
      </c>
      <c r="K823" s="51">
        <v>5.0999999999999996</v>
      </c>
      <c r="L823" s="122" t="str">
        <f>IF(AND(Tabla_Ventas[[#This Row],[VENTA TOTAL]]&gt;=30,Tabla_Ventas[[#This Row],[TIPO DE CLIENTE/ Customer type]]="Member"),"PARTICIPA","NO PARTICIPA")</f>
        <v>NO PARTICIPA</v>
      </c>
    </row>
    <row r="824" spans="1:12" ht="19" x14ac:dyDescent="0.25">
      <c r="A824" s="45">
        <v>234362483</v>
      </c>
      <c r="B824" s="46" t="s">
        <v>12</v>
      </c>
      <c r="C824" s="46" t="s">
        <v>18</v>
      </c>
      <c r="D824" s="46" t="s">
        <v>20</v>
      </c>
      <c r="E824" s="49">
        <v>57.59</v>
      </c>
      <c r="F824" s="48">
        <v>6</v>
      </c>
      <c r="G824" s="78">
        <f t="shared" si="12"/>
        <v>345.54</v>
      </c>
      <c r="H824" s="120">
        <v>43511</v>
      </c>
      <c r="I824" s="50">
        <v>0.57708333333333328</v>
      </c>
      <c r="J824" s="46" t="s">
        <v>23</v>
      </c>
      <c r="K824" s="51">
        <v>5.0999999999999996</v>
      </c>
      <c r="L824" s="122" t="str">
        <f>IF(AND(Tabla_Ventas[[#This Row],[VENTA TOTAL]]&gt;=30,Tabla_Ventas[[#This Row],[TIPO DE CLIENTE/ Customer type]]="Member"),"PARTICIPA","NO PARTICIPA")</f>
        <v>NO PARTICIPA</v>
      </c>
    </row>
    <row r="825" spans="1:12" ht="19" x14ac:dyDescent="0.25">
      <c r="A825" s="45">
        <v>509100516</v>
      </c>
      <c r="B825" s="46" t="s">
        <v>12</v>
      </c>
      <c r="C825" s="46" t="s">
        <v>18</v>
      </c>
      <c r="D825" s="46" t="s">
        <v>25</v>
      </c>
      <c r="E825" s="49">
        <v>45.97</v>
      </c>
      <c r="F825" s="48">
        <v>4</v>
      </c>
      <c r="G825" s="78">
        <f t="shared" si="12"/>
        <v>183.88</v>
      </c>
      <c r="H825" s="120">
        <v>43505</v>
      </c>
      <c r="I825" s="50">
        <v>0.50138888888888888</v>
      </c>
      <c r="J825" s="46" t="s">
        <v>17</v>
      </c>
      <c r="K825" s="51">
        <v>5.0999999999999996</v>
      </c>
      <c r="L825" s="122" t="str">
        <f>IF(AND(Tabla_Ventas[[#This Row],[VENTA TOTAL]]&gt;=30,Tabla_Ventas[[#This Row],[TIPO DE CLIENTE/ Customer type]]="Member"),"PARTICIPA","NO PARTICIPA")</f>
        <v>NO PARTICIPA</v>
      </c>
    </row>
    <row r="826" spans="1:12" ht="19" x14ac:dyDescent="0.25">
      <c r="A826" s="45">
        <v>246556923</v>
      </c>
      <c r="B826" s="46" t="s">
        <v>16</v>
      </c>
      <c r="C826" s="46" t="s">
        <v>13</v>
      </c>
      <c r="D826" s="46" t="s">
        <v>25</v>
      </c>
      <c r="E826" s="49">
        <v>35.79</v>
      </c>
      <c r="F826" s="48">
        <v>9</v>
      </c>
      <c r="G826" s="78">
        <f t="shared" si="12"/>
        <v>322.11</v>
      </c>
      <c r="H826" s="120">
        <v>43534</v>
      </c>
      <c r="I826" s="50">
        <v>0.62916666666666665</v>
      </c>
      <c r="J826" s="46" t="s">
        <v>15</v>
      </c>
      <c r="K826" s="51">
        <v>5.0999999999999996</v>
      </c>
      <c r="L826" s="122" t="str">
        <f>IF(AND(Tabla_Ventas[[#This Row],[VENTA TOTAL]]&gt;=30,Tabla_Ventas[[#This Row],[TIPO DE CLIENTE/ Customer type]]="Member"),"PARTICIPA","NO PARTICIPA")</f>
        <v>PARTICIPA</v>
      </c>
    </row>
    <row r="827" spans="1:12" ht="19" x14ac:dyDescent="0.25">
      <c r="A827" s="45">
        <v>243558457</v>
      </c>
      <c r="B827" s="46" t="s">
        <v>19</v>
      </c>
      <c r="C827" s="46" t="s">
        <v>18</v>
      </c>
      <c r="D827" s="46" t="s">
        <v>24</v>
      </c>
      <c r="E827" s="49">
        <v>74.44</v>
      </c>
      <c r="F827" s="48">
        <v>10</v>
      </c>
      <c r="G827" s="78">
        <f t="shared" si="12"/>
        <v>744.4</v>
      </c>
      <c r="H827" s="120">
        <v>43523</v>
      </c>
      <c r="I827" s="50">
        <v>0.4861111111111111</v>
      </c>
      <c r="J827" s="46" t="s">
        <v>17</v>
      </c>
      <c r="K827" s="51">
        <v>5.0999999999999996</v>
      </c>
      <c r="L827" s="122" t="str">
        <f>IF(AND(Tabla_Ventas[[#This Row],[VENTA TOTAL]]&gt;=30,Tabla_Ventas[[#This Row],[TIPO DE CLIENTE/ Customer type]]="Member"),"PARTICIPA","NO PARTICIPA")</f>
        <v>NO PARTICIPA</v>
      </c>
    </row>
    <row r="828" spans="1:12" ht="19" x14ac:dyDescent="0.25">
      <c r="A828" s="45">
        <v>235068510</v>
      </c>
      <c r="B828" s="46" t="s">
        <v>16</v>
      </c>
      <c r="C828" s="46" t="s">
        <v>13</v>
      </c>
      <c r="D828" s="46" t="s">
        <v>25</v>
      </c>
      <c r="E828" s="49">
        <v>85.72</v>
      </c>
      <c r="F828" s="48">
        <v>3</v>
      </c>
      <c r="G828" s="78">
        <f t="shared" si="12"/>
        <v>257.15999999999997</v>
      </c>
      <c r="H828" s="120">
        <v>43489</v>
      </c>
      <c r="I828" s="50">
        <v>0.87430555555555556</v>
      </c>
      <c r="J828" s="46" t="s">
        <v>17</v>
      </c>
      <c r="K828" s="51">
        <v>5.0999999999999996</v>
      </c>
      <c r="L828" s="122" t="str">
        <f>IF(AND(Tabla_Ventas[[#This Row],[VENTA TOTAL]]&gt;=30,Tabla_Ventas[[#This Row],[TIPO DE CLIENTE/ Customer type]]="Member"),"PARTICIPA","NO PARTICIPA")</f>
        <v>PARTICIPA</v>
      </c>
    </row>
    <row r="829" spans="1:12" ht="19" x14ac:dyDescent="0.25">
      <c r="A829" s="45">
        <v>156200370</v>
      </c>
      <c r="B829" s="46" t="s">
        <v>12</v>
      </c>
      <c r="C829" s="46" t="s">
        <v>18</v>
      </c>
      <c r="D829" s="46" t="s">
        <v>21</v>
      </c>
      <c r="E829" s="49">
        <v>25.45</v>
      </c>
      <c r="F829" s="48">
        <v>1</v>
      </c>
      <c r="G829" s="78">
        <f t="shared" si="12"/>
        <v>25.45</v>
      </c>
      <c r="H829" s="120">
        <v>43534</v>
      </c>
      <c r="I829" s="50">
        <v>0.75694444444444453</v>
      </c>
      <c r="J829" s="46" t="s">
        <v>15</v>
      </c>
      <c r="K829" s="51">
        <v>5.0999999999999996</v>
      </c>
      <c r="L829" s="122" t="str">
        <f>IF(AND(Tabla_Ventas[[#This Row],[VENTA TOTAL]]&gt;=30,Tabla_Ventas[[#This Row],[TIPO DE CLIENTE/ Customer type]]="Member"),"PARTICIPA","NO PARTICIPA")</f>
        <v>NO PARTICIPA</v>
      </c>
    </row>
    <row r="830" spans="1:12" ht="19" x14ac:dyDescent="0.25">
      <c r="A830" s="45">
        <v>556863144</v>
      </c>
      <c r="B830" s="46" t="s">
        <v>12</v>
      </c>
      <c r="C830" s="46" t="s">
        <v>13</v>
      </c>
      <c r="D830" s="46" t="s">
        <v>22</v>
      </c>
      <c r="E830" s="47">
        <v>74.290000000000006</v>
      </c>
      <c r="F830" s="48">
        <v>1</v>
      </c>
      <c r="G830" s="78">
        <f t="shared" si="12"/>
        <v>74.290000000000006</v>
      </c>
      <c r="H830" s="120">
        <v>43478</v>
      </c>
      <c r="I830" s="50">
        <v>0.8125</v>
      </c>
      <c r="J830" s="46" t="s">
        <v>23</v>
      </c>
      <c r="K830" s="51">
        <v>5</v>
      </c>
      <c r="L830" s="122" t="str">
        <f>IF(AND(Tabla_Ventas[[#This Row],[VENTA TOTAL]]&gt;=30,Tabla_Ventas[[#This Row],[TIPO DE CLIENTE/ Customer type]]="Member"),"PARTICIPA","NO PARTICIPA")</f>
        <v>PARTICIPA</v>
      </c>
    </row>
    <row r="831" spans="1:12" ht="19" x14ac:dyDescent="0.25">
      <c r="A831" s="45">
        <v>423644619</v>
      </c>
      <c r="B831" s="46" t="s">
        <v>19</v>
      </c>
      <c r="C831" s="46" t="s">
        <v>13</v>
      </c>
      <c r="D831" s="46" t="s">
        <v>20</v>
      </c>
      <c r="E831" s="47">
        <v>15.55</v>
      </c>
      <c r="F831" s="48">
        <v>9</v>
      </c>
      <c r="G831" s="78">
        <f t="shared" si="12"/>
        <v>139.95000000000002</v>
      </c>
      <c r="H831" s="120">
        <v>43531</v>
      </c>
      <c r="I831" s="50">
        <v>0.54999999999999993</v>
      </c>
      <c r="J831" s="46" t="s">
        <v>23</v>
      </c>
      <c r="K831" s="51">
        <v>5</v>
      </c>
      <c r="L831" s="122" t="str">
        <f>IF(AND(Tabla_Ventas[[#This Row],[VENTA TOTAL]]&gt;=30,Tabla_Ventas[[#This Row],[TIPO DE CLIENTE/ Customer type]]="Member"),"PARTICIPA","NO PARTICIPA")</f>
        <v>PARTICIPA</v>
      </c>
    </row>
    <row r="832" spans="1:12" ht="19" x14ac:dyDescent="0.25">
      <c r="A832" s="45">
        <v>489644354</v>
      </c>
      <c r="B832" s="46" t="s">
        <v>12</v>
      </c>
      <c r="C832" s="46" t="s">
        <v>18</v>
      </c>
      <c r="D832" s="46" t="s">
        <v>22</v>
      </c>
      <c r="E832" s="47">
        <v>16.28</v>
      </c>
      <c r="F832" s="48">
        <v>1</v>
      </c>
      <c r="G832" s="78">
        <f t="shared" si="12"/>
        <v>16.28</v>
      </c>
      <c r="H832" s="120">
        <v>43533</v>
      </c>
      <c r="I832" s="50">
        <v>0.65</v>
      </c>
      <c r="J832" s="46" t="s">
        <v>23</v>
      </c>
      <c r="K832" s="51">
        <v>5</v>
      </c>
      <c r="L832" s="122" t="str">
        <f>IF(AND(Tabla_Ventas[[#This Row],[VENTA TOTAL]]&gt;=30,Tabla_Ventas[[#This Row],[TIPO DE CLIENTE/ Customer type]]="Member"),"PARTICIPA","NO PARTICIPA")</f>
        <v>NO PARTICIPA</v>
      </c>
    </row>
    <row r="833" spans="1:12" ht="19" x14ac:dyDescent="0.25">
      <c r="A833" s="45">
        <v>674159296</v>
      </c>
      <c r="B833" s="46" t="s">
        <v>19</v>
      </c>
      <c r="C833" s="46" t="s">
        <v>18</v>
      </c>
      <c r="D833" s="46" t="s">
        <v>14</v>
      </c>
      <c r="E833" s="47">
        <v>37.14</v>
      </c>
      <c r="F833" s="48">
        <v>5</v>
      </c>
      <c r="G833" s="78">
        <f t="shared" si="12"/>
        <v>185.7</v>
      </c>
      <c r="H833" s="120">
        <v>43678</v>
      </c>
      <c r="I833" s="50">
        <v>0.54513888888888895</v>
      </c>
      <c r="J833" s="46" t="s">
        <v>17</v>
      </c>
      <c r="K833" s="51">
        <v>5</v>
      </c>
      <c r="L833" s="122" t="str">
        <f>IF(AND(Tabla_Ventas[[#This Row],[VENTA TOTAL]]&gt;=30,Tabla_Ventas[[#This Row],[TIPO DE CLIENTE/ Customer type]]="Member"),"PARTICIPA","NO PARTICIPA")</f>
        <v>NO PARTICIPA</v>
      </c>
    </row>
    <row r="834" spans="1:12" ht="19" x14ac:dyDescent="0.25">
      <c r="A834" s="45">
        <v>133147229</v>
      </c>
      <c r="B834" s="46" t="s">
        <v>12</v>
      </c>
      <c r="C834" s="46" t="s">
        <v>18</v>
      </c>
      <c r="D834" s="46" t="s">
        <v>20</v>
      </c>
      <c r="E834" s="47">
        <v>62.87</v>
      </c>
      <c r="F834" s="48">
        <v>2</v>
      </c>
      <c r="G834" s="78">
        <f t="shared" si="12"/>
        <v>125.74</v>
      </c>
      <c r="H834" s="120">
        <v>43466</v>
      </c>
      <c r="I834" s="50">
        <v>0.48819444444444443</v>
      </c>
      <c r="J834" s="46" t="s">
        <v>23</v>
      </c>
      <c r="K834" s="51">
        <v>5</v>
      </c>
      <c r="L834" s="122" t="str">
        <f>IF(AND(Tabla_Ventas[[#This Row],[VENTA TOTAL]]&gt;=30,Tabla_Ventas[[#This Row],[TIPO DE CLIENTE/ Customer type]]="Member"),"PARTICIPA","NO PARTICIPA")</f>
        <v>NO PARTICIPA</v>
      </c>
    </row>
    <row r="835" spans="1:12" ht="19" x14ac:dyDescent="0.25">
      <c r="A835" s="45">
        <v>339124827</v>
      </c>
      <c r="B835" s="46" t="s">
        <v>16</v>
      </c>
      <c r="C835" s="46" t="s">
        <v>13</v>
      </c>
      <c r="D835" s="46" t="s">
        <v>22</v>
      </c>
      <c r="E835" s="47">
        <v>73.959999999999994</v>
      </c>
      <c r="F835" s="48">
        <v>1</v>
      </c>
      <c r="G835" s="78">
        <f t="shared" si="12"/>
        <v>73.959999999999994</v>
      </c>
      <c r="H835" s="120">
        <v>43586</v>
      </c>
      <c r="I835" s="50">
        <v>0.48055555555555557</v>
      </c>
      <c r="J835" s="46" t="s">
        <v>15</v>
      </c>
      <c r="K835" s="51">
        <v>5</v>
      </c>
      <c r="L835" s="122" t="str">
        <f>IF(AND(Tabla_Ventas[[#This Row],[VENTA TOTAL]]&gt;=30,Tabla_Ventas[[#This Row],[TIPO DE CLIENTE/ Customer type]]="Member"),"PARTICIPA","NO PARTICIPA")</f>
        <v>PARTICIPA</v>
      </c>
    </row>
    <row r="836" spans="1:12" ht="19" x14ac:dyDescent="0.25">
      <c r="A836" s="45">
        <v>173501108</v>
      </c>
      <c r="B836" s="46" t="s">
        <v>16</v>
      </c>
      <c r="C836" s="46" t="s">
        <v>13</v>
      </c>
      <c r="D836" s="46" t="s">
        <v>14</v>
      </c>
      <c r="E836" s="47">
        <v>20.18</v>
      </c>
      <c r="F836" s="48">
        <v>4</v>
      </c>
      <c r="G836" s="78">
        <f t="shared" ref="G836:G899" si="13">F836*E836</f>
        <v>80.72</v>
      </c>
      <c r="H836" s="120">
        <v>43509</v>
      </c>
      <c r="I836" s="50">
        <v>0.50972222222222219</v>
      </c>
      <c r="J836" s="46" t="s">
        <v>15</v>
      </c>
      <c r="K836" s="51">
        <v>5</v>
      </c>
      <c r="L836" s="122" t="str">
        <f>IF(AND(Tabla_Ventas[[#This Row],[VENTA TOTAL]]&gt;=30,Tabla_Ventas[[#This Row],[TIPO DE CLIENTE/ Customer type]]="Member"),"PARTICIPA","NO PARTICIPA")</f>
        <v>PARTICIPA</v>
      </c>
    </row>
    <row r="837" spans="1:12" ht="19" x14ac:dyDescent="0.25">
      <c r="A837" s="45">
        <v>760902357</v>
      </c>
      <c r="B837" s="46" t="s">
        <v>19</v>
      </c>
      <c r="C837" s="46" t="s">
        <v>13</v>
      </c>
      <c r="D837" s="46" t="s">
        <v>21</v>
      </c>
      <c r="E837" s="47">
        <v>74.510000000000005</v>
      </c>
      <c r="F837" s="48">
        <v>6</v>
      </c>
      <c r="G837" s="78">
        <f t="shared" si="13"/>
        <v>447.06000000000006</v>
      </c>
      <c r="H837" s="120">
        <v>43544</v>
      </c>
      <c r="I837" s="50">
        <v>0.63055555555555554</v>
      </c>
      <c r="J837" s="46" t="s">
        <v>17</v>
      </c>
      <c r="K837" s="51">
        <v>5</v>
      </c>
      <c r="L837" s="122" t="str">
        <f>IF(AND(Tabla_Ventas[[#This Row],[VENTA TOTAL]]&gt;=30,Tabla_Ventas[[#This Row],[TIPO DE CLIENTE/ Customer type]]="Member"),"PARTICIPA","NO PARTICIPA")</f>
        <v>PARTICIPA</v>
      </c>
    </row>
    <row r="838" spans="1:12" ht="19" x14ac:dyDescent="0.25">
      <c r="A838" s="45">
        <v>628908624</v>
      </c>
      <c r="B838" s="46" t="s">
        <v>12</v>
      </c>
      <c r="C838" s="46" t="s">
        <v>13</v>
      </c>
      <c r="D838" s="46" t="s">
        <v>20</v>
      </c>
      <c r="E838" s="49">
        <v>82.58</v>
      </c>
      <c r="F838" s="48">
        <v>10</v>
      </c>
      <c r="G838" s="78">
        <f t="shared" si="13"/>
        <v>825.8</v>
      </c>
      <c r="H838" s="120">
        <v>43538</v>
      </c>
      <c r="I838" s="50">
        <v>0.6118055555555556</v>
      </c>
      <c r="J838" s="46" t="s">
        <v>23</v>
      </c>
      <c r="K838" s="51">
        <v>5</v>
      </c>
      <c r="L838" s="122" t="str">
        <f>IF(AND(Tabla_Ventas[[#This Row],[VENTA TOTAL]]&gt;=30,Tabla_Ventas[[#This Row],[TIPO DE CLIENTE/ Customer type]]="Member"),"PARTICIPA","NO PARTICIPA")</f>
        <v>PARTICIPA</v>
      </c>
    </row>
    <row r="839" spans="1:12" ht="19" x14ac:dyDescent="0.25">
      <c r="A839" s="45">
        <v>182882763</v>
      </c>
      <c r="B839" s="46" t="s">
        <v>12</v>
      </c>
      <c r="C839" s="46" t="s">
        <v>13</v>
      </c>
      <c r="D839" s="46" t="s">
        <v>24</v>
      </c>
      <c r="E839" s="49">
        <v>79.91</v>
      </c>
      <c r="F839" s="48">
        <v>3</v>
      </c>
      <c r="G839" s="78">
        <f t="shared" si="13"/>
        <v>239.73</v>
      </c>
      <c r="H839" s="120">
        <v>43544</v>
      </c>
      <c r="I839" s="50">
        <v>0.81111111111111101</v>
      </c>
      <c r="J839" s="46" t="s">
        <v>15</v>
      </c>
      <c r="K839" s="51">
        <v>5</v>
      </c>
      <c r="L839" s="122" t="str">
        <f>IF(AND(Tabla_Ventas[[#This Row],[VENTA TOTAL]]&gt;=30,Tabla_Ventas[[#This Row],[TIPO DE CLIENTE/ Customer type]]="Member"),"PARTICIPA","NO PARTICIPA")</f>
        <v>PARTICIPA</v>
      </c>
    </row>
    <row r="840" spans="1:12" ht="19" x14ac:dyDescent="0.25">
      <c r="A840" s="45">
        <v>188550967</v>
      </c>
      <c r="B840" s="46" t="s">
        <v>12</v>
      </c>
      <c r="C840" s="46" t="s">
        <v>13</v>
      </c>
      <c r="D840" s="46" t="s">
        <v>20</v>
      </c>
      <c r="E840" s="49">
        <v>66.47</v>
      </c>
      <c r="F840" s="48">
        <v>10</v>
      </c>
      <c r="G840" s="78">
        <f t="shared" si="13"/>
        <v>664.7</v>
      </c>
      <c r="H840" s="120">
        <v>43480</v>
      </c>
      <c r="I840" s="50">
        <v>0.62569444444444444</v>
      </c>
      <c r="J840" s="46" t="s">
        <v>15</v>
      </c>
      <c r="K840" s="51">
        <v>5</v>
      </c>
      <c r="L840" s="122" t="str">
        <f>IF(AND(Tabla_Ventas[[#This Row],[VENTA TOTAL]]&gt;=30,Tabla_Ventas[[#This Row],[TIPO DE CLIENTE/ Customer type]]="Member"),"PARTICIPA","NO PARTICIPA")</f>
        <v>PARTICIPA</v>
      </c>
    </row>
    <row r="841" spans="1:12" ht="19" x14ac:dyDescent="0.25">
      <c r="A841" s="45">
        <v>191290321</v>
      </c>
      <c r="B841" s="46" t="s">
        <v>12</v>
      </c>
      <c r="C841" s="46" t="s">
        <v>13</v>
      </c>
      <c r="D841" s="46" t="s">
        <v>22</v>
      </c>
      <c r="E841" s="49">
        <v>19.77</v>
      </c>
      <c r="F841" s="48">
        <v>10</v>
      </c>
      <c r="G841" s="78">
        <f t="shared" si="13"/>
        <v>197.7</v>
      </c>
      <c r="H841" s="120">
        <v>43523</v>
      </c>
      <c r="I841" s="50">
        <v>0.7895833333333333</v>
      </c>
      <c r="J841" s="46" t="s">
        <v>15</v>
      </c>
      <c r="K841" s="51">
        <v>5</v>
      </c>
      <c r="L841" s="122" t="str">
        <f>IF(AND(Tabla_Ventas[[#This Row],[VENTA TOTAL]]&gt;=30,Tabla_Ventas[[#This Row],[TIPO DE CLIENTE/ Customer type]]="Member"),"PARTICIPA","NO PARTICIPA")</f>
        <v>PARTICIPA</v>
      </c>
    </row>
    <row r="842" spans="1:12" ht="19" x14ac:dyDescent="0.25">
      <c r="A842" s="45">
        <v>380605336</v>
      </c>
      <c r="B842" s="46" t="s">
        <v>19</v>
      </c>
      <c r="C842" s="46" t="s">
        <v>18</v>
      </c>
      <c r="D842" s="46" t="s">
        <v>21</v>
      </c>
      <c r="E842" s="49">
        <v>40.26</v>
      </c>
      <c r="F842" s="48">
        <v>10</v>
      </c>
      <c r="G842" s="78">
        <f t="shared" si="13"/>
        <v>402.59999999999997</v>
      </c>
      <c r="H842" s="120">
        <v>43520</v>
      </c>
      <c r="I842" s="50">
        <v>0.75416666666666676</v>
      </c>
      <c r="J842" s="46" t="s">
        <v>15</v>
      </c>
      <c r="K842" s="51">
        <v>5</v>
      </c>
      <c r="L842" s="122" t="str">
        <f>IF(AND(Tabla_Ventas[[#This Row],[VENTA TOTAL]]&gt;=30,Tabla_Ventas[[#This Row],[TIPO DE CLIENTE/ Customer type]]="Member"),"PARTICIPA","NO PARTICIPA")</f>
        <v>NO PARTICIPA</v>
      </c>
    </row>
    <row r="843" spans="1:12" ht="19" x14ac:dyDescent="0.25">
      <c r="A843" s="45">
        <v>778342523</v>
      </c>
      <c r="B843" s="46" t="s">
        <v>19</v>
      </c>
      <c r="C843" s="46" t="s">
        <v>13</v>
      </c>
      <c r="D843" s="46" t="s">
        <v>21</v>
      </c>
      <c r="E843" s="49">
        <v>48.62</v>
      </c>
      <c r="F843" s="48">
        <v>8</v>
      </c>
      <c r="G843" s="78">
        <f t="shared" si="13"/>
        <v>388.96</v>
      </c>
      <c r="H843" s="120">
        <v>43489</v>
      </c>
      <c r="I843" s="50">
        <v>0.45624999999999999</v>
      </c>
      <c r="J843" s="46" t="s">
        <v>23</v>
      </c>
      <c r="K843" s="51">
        <v>5</v>
      </c>
      <c r="L843" s="122" t="str">
        <f>IF(AND(Tabla_Ventas[[#This Row],[VENTA TOTAL]]&gt;=30,Tabla_Ventas[[#This Row],[TIPO DE CLIENTE/ Customer type]]="Member"),"PARTICIPA","NO PARTICIPA")</f>
        <v>PARTICIPA</v>
      </c>
    </row>
    <row r="844" spans="1:12" ht="19" x14ac:dyDescent="0.25">
      <c r="A844" s="45">
        <v>499277781</v>
      </c>
      <c r="B844" s="46" t="s">
        <v>12</v>
      </c>
      <c r="C844" s="46" t="s">
        <v>18</v>
      </c>
      <c r="D844" s="46" t="s">
        <v>24</v>
      </c>
      <c r="E844" s="49">
        <v>53.21</v>
      </c>
      <c r="F844" s="48">
        <v>8</v>
      </c>
      <c r="G844" s="78">
        <f t="shared" si="13"/>
        <v>425.68</v>
      </c>
      <c r="H844" s="120">
        <v>43538</v>
      </c>
      <c r="I844" s="50">
        <v>0.69791666666666663</v>
      </c>
      <c r="J844" s="46" t="s">
        <v>17</v>
      </c>
      <c r="K844" s="51">
        <v>5</v>
      </c>
      <c r="L844" s="122" t="str">
        <f>IF(AND(Tabla_Ventas[[#This Row],[VENTA TOTAL]]&gt;=30,Tabla_Ventas[[#This Row],[TIPO DE CLIENTE/ Customer type]]="Member"),"PARTICIPA","NO PARTICIPA")</f>
        <v>NO PARTICIPA</v>
      </c>
    </row>
    <row r="845" spans="1:12" ht="19" x14ac:dyDescent="0.25">
      <c r="A845" s="45">
        <v>271778740</v>
      </c>
      <c r="B845" s="46" t="s">
        <v>16</v>
      </c>
      <c r="C845" s="46" t="s">
        <v>13</v>
      </c>
      <c r="D845" s="46" t="s">
        <v>14</v>
      </c>
      <c r="E845" s="49">
        <v>29.22</v>
      </c>
      <c r="F845" s="48">
        <v>6</v>
      </c>
      <c r="G845" s="78">
        <f t="shared" si="13"/>
        <v>175.32</v>
      </c>
      <c r="H845" s="120">
        <v>43466</v>
      </c>
      <c r="I845" s="50">
        <v>0.4861111111111111</v>
      </c>
      <c r="J845" s="46" t="s">
        <v>17</v>
      </c>
      <c r="K845" s="51">
        <v>5</v>
      </c>
      <c r="L845" s="122" t="str">
        <f>IF(AND(Tabla_Ventas[[#This Row],[VENTA TOTAL]]&gt;=30,Tabla_Ventas[[#This Row],[TIPO DE CLIENTE/ Customer type]]="Member"),"PARTICIPA","NO PARTICIPA")</f>
        <v>PARTICIPA</v>
      </c>
    </row>
    <row r="846" spans="1:12" ht="19" x14ac:dyDescent="0.25">
      <c r="A846" s="45">
        <v>860736466</v>
      </c>
      <c r="B846" s="46" t="s">
        <v>19</v>
      </c>
      <c r="C846" s="46" t="s">
        <v>13</v>
      </c>
      <c r="D846" s="46" t="s">
        <v>14</v>
      </c>
      <c r="E846" s="49">
        <v>39.47</v>
      </c>
      <c r="F846" s="48">
        <v>2</v>
      </c>
      <c r="G846" s="78">
        <f t="shared" si="13"/>
        <v>78.94</v>
      </c>
      <c r="H846" s="120">
        <v>43499</v>
      </c>
      <c r="I846" s="50">
        <v>0.6777777777777777</v>
      </c>
      <c r="J846" s="46" t="s">
        <v>15</v>
      </c>
      <c r="K846" s="51">
        <v>5</v>
      </c>
      <c r="L846" s="122" t="str">
        <f>IF(AND(Tabla_Ventas[[#This Row],[VENTA TOTAL]]&gt;=30,Tabla_Ventas[[#This Row],[TIPO DE CLIENTE/ Customer type]]="Member"),"PARTICIPA","NO PARTICIPA")</f>
        <v>PARTICIPA</v>
      </c>
    </row>
    <row r="847" spans="1:12" ht="19" x14ac:dyDescent="0.25">
      <c r="A847" s="45">
        <v>658663967</v>
      </c>
      <c r="B847" s="46" t="s">
        <v>16</v>
      </c>
      <c r="C847" s="46" t="s">
        <v>18</v>
      </c>
      <c r="D847" s="46" t="s">
        <v>20</v>
      </c>
      <c r="E847" s="49">
        <v>53.19</v>
      </c>
      <c r="F847" s="48">
        <v>7</v>
      </c>
      <c r="G847" s="78">
        <f t="shared" si="13"/>
        <v>372.33</v>
      </c>
      <c r="H847" s="120">
        <v>43479</v>
      </c>
      <c r="I847" s="50">
        <v>0.65416666666666667</v>
      </c>
      <c r="J847" s="46" t="s">
        <v>17</v>
      </c>
      <c r="K847" s="51">
        <v>5</v>
      </c>
      <c r="L847" s="122" t="str">
        <f>IF(AND(Tabla_Ventas[[#This Row],[VENTA TOTAL]]&gt;=30,Tabla_Ventas[[#This Row],[TIPO DE CLIENTE/ Customer type]]="Member"),"PARTICIPA","NO PARTICIPA")</f>
        <v>NO PARTICIPA</v>
      </c>
    </row>
    <row r="848" spans="1:12" ht="19" x14ac:dyDescent="0.25">
      <c r="A848" s="45">
        <v>316663011</v>
      </c>
      <c r="B848" s="46" t="s">
        <v>19</v>
      </c>
      <c r="C848" s="46" t="s">
        <v>13</v>
      </c>
      <c r="D848" s="46" t="s">
        <v>24</v>
      </c>
      <c r="E848" s="49">
        <v>47.63</v>
      </c>
      <c r="F848" s="48">
        <v>9</v>
      </c>
      <c r="G848" s="78">
        <f t="shared" si="13"/>
        <v>428.67</v>
      </c>
      <c r="H848" s="120">
        <v>43488</v>
      </c>
      <c r="I848" s="50">
        <v>0.52430555555555558</v>
      </c>
      <c r="J848" s="46" t="s">
        <v>23</v>
      </c>
      <c r="K848" s="51">
        <v>5</v>
      </c>
      <c r="L848" s="122" t="str">
        <f>IF(AND(Tabla_Ventas[[#This Row],[VENTA TOTAL]]&gt;=30,Tabla_Ventas[[#This Row],[TIPO DE CLIENTE/ Customer type]]="Member"),"PARTICIPA","NO PARTICIPA")</f>
        <v>PARTICIPA</v>
      </c>
    </row>
    <row r="849" spans="1:12" ht="19" x14ac:dyDescent="0.25">
      <c r="A849" s="45">
        <v>460935834</v>
      </c>
      <c r="B849" s="46" t="s">
        <v>19</v>
      </c>
      <c r="C849" s="46" t="s">
        <v>18</v>
      </c>
      <c r="D849" s="46" t="s">
        <v>14</v>
      </c>
      <c r="E849" s="49">
        <v>45.58</v>
      </c>
      <c r="F849" s="48">
        <v>7</v>
      </c>
      <c r="G849" s="78">
        <f t="shared" si="13"/>
        <v>319.06</v>
      </c>
      <c r="H849" s="120">
        <v>43478</v>
      </c>
      <c r="I849" s="50">
        <v>0.41875000000000001</v>
      </c>
      <c r="J849" s="46" t="s">
        <v>23</v>
      </c>
      <c r="K849" s="51">
        <v>5</v>
      </c>
      <c r="L849" s="122" t="str">
        <f>IF(AND(Tabla_Ventas[[#This Row],[VENTA TOTAL]]&gt;=30,Tabla_Ventas[[#This Row],[TIPO DE CLIENTE/ Customer type]]="Member"),"PARTICIPA","NO PARTICIPA")</f>
        <v>NO PARTICIPA</v>
      </c>
    </row>
    <row r="850" spans="1:12" ht="19" x14ac:dyDescent="0.25">
      <c r="A850" s="45">
        <v>781848059</v>
      </c>
      <c r="B850" s="46" t="s">
        <v>16</v>
      </c>
      <c r="C850" s="46" t="s">
        <v>18</v>
      </c>
      <c r="D850" s="46" t="s">
        <v>22</v>
      </c>
      <c r="E850" s="49">
        <v>60.74</v>
      </c>
      <c r="F850" s="48">
        <v>7</v>
      </c>
      <c r="G850" s="78">
        <f t="shared" si="13"/>
        <v>425.18</v>
      </c>
      <c r="H850" s="120">
        <v>43483</v>
      </c>
      <c r="I850" s="50">
        <v>0.68263888888888891</v>
      </c>
      <c r="J850" s="46" t="s">
        <v>17</v>
      </c>
      <c r="K850" s="51">
        <v>5</v>
      </c>
      <c r="L850" s="122" t="str">
        <f>IF(AND(Tabla_Ventas[[#This Row],[VENTA TOTAL]]&gt;=30,Tabla_Ventas[[#This Row],[TIPO DE CLIENTE/ Customer type]]="Member"),"PARTICIPA","NO PARTICIPA")</f>
        <v>NO PARTICIPA</v>
      </c>
    </row>
    <row r="851" spans="1:12" ht="19" x14ac:dyDescent="0.25">
      <c r="A851" s="45">
        <v>551213069</v>
      </c>
      <c r="B851" s="46" t="s">
        <v>12</v>
      </c>
      <c r="C851" s="46" t="s">
        <v>18</v>
      </c>
      <c r="D851" s="46" t="s">
        <v>21</v>
      </c>
      <c r="E851" s="47">
        <v>23.07</v>
      </c>
      <c r="F851" s="48">
        <v>9</v>
      </c>
      <c r="G851" s="78">
        <f t="shared" si="13"/>
        <v>207.63</v>
      </c>
      <c r="H851" s="120">
        <v>43467</v>
      </c>
      <c r="I851" s="50">
        <v>0.4770833333333333</v>
      </c>
      <c r="J851" s="46" t="s">
        <v>23</v>
      </c>
      <c r="K851" s="51">
        <v>4.9000000000000004</v>
      </c>
      <c r="L851" s="122" t="str">
        <f>IF(AND(Tabla_Ventas[[#This Row],[VENTA TOTAL]]&gt;=30,Tabla_Ventas[[#This Row],[TIPO DE CLIENTE/ Customer type]]="Member"),"PARTICIPA","NO PARTICIPA")</f>
        <v>NO PARTICIPA</v>
      </c>
    </row>
    <row r="852" spans="1:12" ht="19" x14ac:dyDescent="0.25">
      <c r="A852" s="45">
        <v>238490436</v>
      </c>
      <c r="B852" s="46" t="s">
        <v>19</v>
      </c>
      <c r="C852" s="46" t="s">
        <v>18</v>
      </c>
      <c r="D852" s="46" t="s">
        <v>20</v>
      </c>
      <c r="E852" s="47">
        <v>32.46</v>
      </c>
      <c r="F852" s="48">
        <v>8</v>
      </c>
      <c r="G852" s="78">
        <f t="shared" si="13"/>
        <v>259.68</v>
      </c>
      <c r="H852" s="120">
        <v>43551</v>
      </c>
      <c r="I852" s="50">
        <v>0.57500000000000007</v>
      </c>
      <c r="J852" s="46" t="s">
        <v>15</v>
      </c>
      <c r="K852" s="51">
        <v>4.9000000000000004</v>
      </c>
      <c r="L852" s="122" t="str">
        <f>IF(AND(Tabla_Ventas[[#This Row],[VENTA TOTAL]]&gt;=30,Tabla_Ventas[[#This Row],[TIPO DE CLIENTE/ Customer type]]="Member"),"PARTICIPA","NO PARTICIPA")</f>
        <v>NO PARTICIPA</v>
      </c>
    </row>
    <row r="853" spans="1:12" ht="19" x14ac:dyDescent="0.25">
      <c r="A853" s="45">
        <v>848249445</v>
      </c>
      <c r="B853" s="46" t="s">
        <v>12</v>
      </c>
      <c r="C853" s="46" t="s">
        <v>13</v>
      </c>
      <c r="D853" s="46" t="s">
        <v>20</v>
      </c>
      <c r="E853" s="47">
        <v>43.7</v>
      </c>
      <c r="F853" s="48">
        <v>2</v>
      </c>
      <c r="G853" s="78">
        <f t="shared" si="13"/>
        <v>87.4</v>
      </c>
      <c r="H853" s="120">
        <v>43550</v>
      </c>
      <c r="I853" s="50">
        <v>0.75208333333333333</v>
      </c>
      <c r="J853" s="46" t="s">
        <v>23</v>
      </c>
      <c r="K853" s="51">
        <v>4.9000000000000004</v>
      </c>
      <c r="L853" s="122" t="str">
        <f>IF(AND(Tabla_Ventas[[#This Row],[VENTA TOTAL]]&gt;=30,Tabla_Ventas[[#This Row],[TIPO DE CLIENTE/ Customer type]]="Member"),"PARTICIPA","NO PARTICIPA")</f>
        <v>PARTICIPA</v>
      </c>
    </row>
    <row r="854" spans="1:12" ht="19" x14ac:dyDescent="0.25">
      <c r="A854" s="45">
        <v>142636033</v>
      </c>
      <c r="B854" s="46" t="s">
        <v>16</v>
      </c>
      <c r="C854" s="46" t="s">
        <v>18</v>
      </c>
      <c r="D854" s="46" t="s">
        <v>25</v>
      </c>
      <c r="E854" s="47">
        <v>92.36</v>
      </c>
      <c r="F854" s="48">
        <v>5</v>
      </c>
      <c r="G854" s="78">
        <f t="shared" si="13"/>
        <v>461.8</v>
      </c>
      <c r="H854" s="120">
        <v>43544</v>
      </c>
      <c r="I854" s="50">
        <v>0.80347222222222225</v>
      </c>
      <c r="J854" s="46" t="s">
        <v>17</v>
      </c>
      <c r="K854" s="51">
        <v>4.9000000000000004</v>
      </c>
      <c r="L854" s="122" t="str">
        <f>IF(AND(Tabla_Ventas[[#This Row],[VENTA TOTAL]]&gt;=30,Tabla_Ventas[[#This Row],[TIPO DE CLIENTE/ Customer type]]="Member"),"PARTICIPA","NO PARTICIPA")</f>
        <v>NO PARTICIPA</v>
      </c>
    </row>
    <row r="855" spans="1:12" ht="19" x14ac:dyDescent="0.25">
      <c r="A855" s="45">
        <v>211309270</v>
      </c>
      <c r="B855" s="46" t="s">
        <v>12</v>
      </c>
      <c r="C855" s="46" t="s">
        <v>18</v>
      </c>
      <c r="D855" s="46" t="s">
        <v>20</v>
      </c>
      <c r="E855" s="47">
        <v>17.41</v>
      </c>
      <c r="F855" s="48">
        <v>5</v>
      </c>
      <c r="G855" s="78">
        <f t="shared" si="13"/>
        <v>87.05</v>
      </c>
      <c r="H855" s="120">
        <v>43493</v>
      </c>
      <c r="I855" s="50">
        <v>0.63611111111111118</v>
      </c>
      <c r="J855" s="46" t="s">
        <v>15</v>
      </c>
      <c r="K855" s="51">
        <v>4.9000000000000004</v>
      </c>
      <c r="L855" s="122" t="str">
        <f>IF(AND(Tabla_Ventas[[#This Row],[VENTA TOTAL]]&gt;=30,Tabla_Ventas[[#This Row],[TIPO DE CLIENTE/ Customer type]]="Member"),"PARTICIPA","NO PARTICIPA")</f>
        <v>NO PARTICIPA</v>
      </c>
    </row>
    <row r="856" spans="1:12" ht="19" x14ac:dyDescent="0.25">
      <c r="A856" s="45">
        <v>478067835</v>
      </c>
      <c r="B856" s="46" t="s">
        <v>19</v>
      </c>
      <c r="C856" s="46" t="s">
        <v>18</v>
      </c>
      <c r="D856" s="46" t="s">
        <v>22</v>
      </c>
      <c r="E856" s="47">
        <v>89.69</v>
      </c>
      <c r="F856" s="48">
        <v>1</v>
      </c>
      <c r="G856" s="78">
        <f t="shared" si="13"/>
        <v>89.69</v>
      </c>
      <c r="H856" s="120">
        <v>43770</v>
      </c>
      <c r="I856" s="50">
        <v>0.47222222222222227</v>
      </c>
      <c r="J856" s="46" t="s">
        <v>17</v>
      </c>
      <c r="K856" s="51">
        <v>4.9000000000000004</v>
      </c>
      <c r="L856" s="122" t="str">
        <f>IF(AND(Tabla_Ventas[[#This Row],[VENTA TOTAL]]&gt;=30,Tabla_Ventas[[#This Row],[TIPO DE CLIENTE/ Customer type]]="Member"),"PARTICIPA","NO PARTICIPA")</f>
        <v>NO PARTICIPA</v>
      </c>
    </row>
    <row r="857" spans="1:12" ht="19" x14ac:dyDescent="0.25">
      <c r="A857" s="45">
        <v>603070961</v>
      </c>
      <c r="B857" s="46" t="s">
        <v>12</v>
      </c>
      <c r="C857" s="46" t="s">
        <v>13</v>
      </c>
      <c r="D857" s="46" t="s">
        <v>21</v>
      </c>
      <c r="E857" s="47">
        <v>74.790000000000006</v>
      </c>
      <c r="F857" s="48">
        <v>5</v>
      </c>
      <c r="G857" s="78">
        <f t="shared" si="13"/>
        <v>373.95000000000005</v>
      </c>
      <c r="H857" s="120">
        <v>43739</v>
      </c>
      <c r="I857" s="50">
        <v>0.48194444444444445</v>
      </c>
      <c r="J857" s="46" t="s">
        <v>23</v>
      </c>
      <c r="K857" s="51">
        <v>4.9000000000000004</v>
      </c>
      <c r="L857" s="122" t="str">
        <f>IF(AND(Tabla_Ventas[[#This Row],[VENTA TOTAL]]&gt;=30,Tabla_Ventas[[#This Row],[TIPO DE CLIENTE/ Customer type]]="Member"),"PARTICIPA","NO PARTICIPA")</f>
        <v>PARTICIPA</v>
      </c>
    </row>
    <row r="858" spans="1:12" ht="19" x14ac:dyDescent="0.25">
      <c r="A858" s="45">
        <v>261128671</v>
      </c>
      <c r="B858" s="46" t="s">
        <v>16</v>
      </c>
      <c r="C858" s="46" t="s">
        <v>18</v>
      </c>
      <c r="D858" s="46" t="s">
        <v>22</v>
      </c>
      <c r="E858" s="47">
        <v>60.96</v>
      </c>
      <c r="F858" s="48">
        <v>2</v>
      </c>
      <c r="G858" s="78">
        <f t="shared" si="13"/>
        <v>121.92</v>
      </c>
      <c r="H858" s="120">
        <v>43490</v>
      </c>
      <c r="I858" s="50">
        <v>0.81874999999999998</v>
      </c>
      <c r="J858" s="46" t="s">
        <v>15</v>
      </c>
      <c r="K858" s="51">
        <v>4.9000000000000004</v>
      </c>
      <c r="L858" s="122" t="str">
        <f>IF(AND(Tabla_Ventas[[#This Row],[VENTA TOTAL]]&gt;=30,Tabla_Ventas[[#This Row],[TIPO DE CLIENTE/ Customer type]]="Member"),"PARTICIPA","NO PARTICIPA")</f>
        <v>NO PARTICIPA</v>
      </c>
    </row>
    <row r="859" spans="1:12" ht="19" x14ac:dyDescent="0.25">
      <c r="A859" s="45">
        <v>587037455</v>
      </c>
      <c r="B859" s="46" t="s">
        <v>12</v>
      </c>
      <c r="C859" s="46" t="s">
        <v>13</v>
      </c>
      <c r="D859" s="46" t="s">
        <v>22</v>
      </c>
      <c r="E859" s="47">
        <v>97.79</v>
      </c>
      <c r="F859" s="48">
        <v>7</v>
      </c>
      <c r="G859" s="78">
        <f t="shared" si="13"/>
        <v>684.53000000000009</v>
      </c>
      <c r="H859" s="120">
        <v>43512</v>
      </c>
      <c r="I859" s="50">
        <v>0.72916666666666663</v>
      </c>
      <c r="J859" s="46" t="s">
        <v>17</v>
      </c>
      <c r="K859" s="51">
        <v>4.9000000000000004</v>
      </c>
      <c r="L859" s="122" t="str">
        <f>IF(AND(Tabla_Ventas[[#This Row],[VENTA TOTAL]]&gt;=30,Tabla_Ventas[[#This Row],[TIPO DE CLIENTE/ Customer type]]="Member"),"PARTICIPA","NO PARTICIPA")</f>
        <v>PARTICIPA</v>
      </c>
    </row>
    <row r="860" spans="1:12" ht="19" x14ac:dyDescent="0.25">
      <c r="A860" s="45">
        <v>308810538</v>
      </c>
      <c r="B860" s="46" t="s">
        <v>19</v>
      </c>
      <c r="C860" s="46" t="s">
        <v>18</v>
      </c>
      <c r="D860" s="46" t="s">
        <v>22</v>
      </c>
      <c r="E860" s="47">
        <v>73.05</v>
      </c>
      <c r="F860" s="48">
        <v>4</v>
      </c>
      <c r="G860" s="78">
        <f t="shared" si="13"/>
        <v>292.2</v>
      </c>
      <c r="H860" s="120">
        <v>43521</v>
      </c>
      <c r="I860" s="50">
        <v>0.71944444444444444</v>
      </c>
      <c r="J860" s="46" t="s">
        <v>15</v>
      </c>
      <c r="K860" s="51">
        <v>4.9000000000000004</v>
      </c>
      <c r="L860" s="122" t="str">
        <f>IF(AND(Tabla_Ventas[[#This Row],[VENTA TOTAL]]&gt;=30,Tabla_Ventas[[#This Row],[TIPO DE CLIENTE/ Customer type]]="Member"),"PARTICIPA","NO PARTICIPA")</f>
        <v>NO PARTICIPA</v>
      </c>
    </row>
    <row r="861" spans="1:12" ht="19" x14ac:dyDescent="0.25">
      <c r="A861" s="45">
        <v>701235550</v>
      </c>
      <c r="B861" s="46" t="s">
        <v>16</v>
      </c>
      <c r="C861" s="46" t="s">
        <v>13</v>
      </c>
      <c r="D861" s="46" t="s">
        <v>25</v>
      </c>
      <c r="E861" s="47">
        <v>38.81</v>
      </c>
      <c r="F861" s="48">
        <v>4</v>
      </c>
      <c r="G861" s="78">
        <f t="shared" si="13"/>
        <v>155.24</v>
      </c>
      <c r="H861" s="120">
        <v>43543</v>
      </c>
      <c r="I861" s="50">
        <v>0.56944444444444442</v>
      </c>
      <c r="J861" s="46" t="s">
        <v>17</v>
      </c>
      <c r="K861" s="51">
        <v>4.9000000000000004</v>
      </c>
      <c r="L861" s="122" t="str">
        <f>IF(AND(Tabla_Ventas[[#This Row],[VENTA TOTAL]]&gt;=30,Tabla_Ventas[[#This Row],[TIPO DE CLIENTE/ Customer type]]="Member"),"PARTICIPA","NO PARTICIPA")</f>
        <v>PARTICIPA</v>
      </c>
    </row>
    <row r="862" spans="1:12" ht="19" x14ac:dyDescent="0.25">
      <c r="A862" s="45">
        <v>670796321</v>
      </c>
      <c r="B862" s="46" t="s">
        <v>12</v>
      </c>
      <c r="C862" s="46" t="s">
        <v>13</v>
      </c>
      <c r="D862" s="46" t="s">
        <v>25</v>
      </c>
      <c r="E862" s="49">
        <v>94.59</v>
      </c>
      <c r="F862" s="48">
        <v>7</v>
      </c>
      <c r="G862" s="78">
        <f t="shared" si="13"/>
        <v>662.13</v>
      </c>
      <c r="H862" s="120">
        <v>43482</v>
      </c>
      <c r="I862" s="50">
        <v>0.64374999999999993</v>
      </c>
      <c r="J862" s="46" t="s">
        <v>15</v>
      </c>
      <c r="K862" s="51">
        <v>4.9000000000000004</v>
      </c>
      <c r="L862" s="122" t="str">
        <f>IF(AND(Tabla_Ventas[[#This Row],[VENTA TOTAL]]&gt;=30,Tabla_Ventas[[#This Row],[TIPO DE CLIENTE/ Customer type]]="Member"),"PARTICIPA","NO PARTICIPA")</f>
        <v>PARTICIPA</v>
      </c>
    </row>
    <row r="863" spans="1:12" ht="19" x14ac:dyDescent="0.25">
      <c r="A863" s="45">
        <v>491383499</v>
      </c>
      <c r="B863" s="46" t="s">
        <v>19</v>
      </c>
      <c r="C863" s="46" t="s">
        <v>13</v>
      </c>
      <c r="D863" s="46" t="s">
        <v>22</v>
      </c>
      <c r="E863" s="49">
        <v>55.45</v>
      </c>
      <c r="F863" s="48">
        <v>1</v>
      </c>
      <c r="G863" s="78">
        <f t="shared" si="13"/>
        <v>55.45</v>
      </c>
      <c r="H863" s="120">
        <v>43522</v>
      </c>
      <c r="I863" s="50">
        <v>0.7402777777777777</v>
      </c>
      <c r="J863" s="46" t="s">
        <v>15</v>
      </c>
      <c r="K863" s="51">
        <v>4.9000000000000004</v>
      </c>
      <c r="L863" s="122" t="str">
        <f>IF(AND(Tabla_Ventas[[#This Row],[VENTA TOTAL]]&gt;=30,Tabla_Ventas[[#This Row],[TIPO DE CLIENTE/ Customer type]]="Member"),"PARTICIPA","NO PARTICIPA")</f>
        <v>PARTICIPA</v>
      </c>
    </row>
    <row r="864" spans="1:12" ht="19" x14ac:dyDescent="0.25">
      <c r="A864" s="45">
        <v>510790415</v>
      </c>
      <c r="B864" s="46" t="s">
        <v>12</v>
      </c>
      <c r="C864" s="46" t="s">
        <v>13</v>
      </c>
      <c r="D864" s="46" t="s">
        <v>14</v>
      </c>
      <c r="E864" s="49">
        <v>23.08</v>
      </c>
      <c r="F864" s="48">
        <v>6</v>
      </c>
      <c r="G864" s="78">
        <f t="shared" si="13"/>
        <v>138.47999999999999</v>
      </c>
      <c r="H864" s="120">
        <v>43489</v>
      </c>
      <c r="I864" s="50">
        <v>0.80555555555555547</v>
      </c>
      <c r="J864" s="46" t="s">
        <v>17</v>
      </c>
      <c r="K864" s="51">
        <v>4.9000000000000004</v>
      </c>
      <c r="L864" s="122" t="str">
        <f>IF(AND(Tabla_Ventas[[#This Row],[VENTA TOTAL]]&gt;=30,Tabla_Ventas[[#This Row],[TIPO DE CLIENTE/ Customer type]]="Member"),"PARTICIPA","NO PARTICIPA")</f>
        <v>PARTICIPA</v>
      </c>
    </row>
    <row r="865" spans="1:12" ht="19" x14ac:dyDescent="0.25">
      <c r="A865" s="45">
        <v>785960615</v>
      </c>
      <c r="B865" s="46" t="s">
        <v>12</v>
      </c>
      <c r="C865" s="46" t="s">
        <v>13</v>
      </c>
      <c r="D865" s="46" t="s">
        <v>21</v>
      </c>
      <c r="E865" s="49">
        <v>35.74</v>
      </c>
      <c r="F865" s="48">
        <v>8</v>
      </c>
      <c r="G865" s="78">
        <f t="shared" si="13"/>
        <v>285.92</v>
      </c>
      <c r="H865" s="120">
        <v>43513</v>
      </c>
      <c r="I865" s="50">
        <v>0.64444444444444449</v>
      </c>
      <c r="J865" s="46" t="s">
        <v>17</v>
      </c>
      <c r="K865" s="51">
        <v>4.9000000000000004</v>
      </c>
      <c r="L865" s="122" t="str">
        <f>IF(AND(Tabla_Ventas[[#This Row],[VENTA TOTAL]]&gt;=30,Tabla_Ventas[[#This Row],[TIPO DE CLIENTE/ Customer type]]="Member"),"PARTICIPA","NO PARTICIPA")</f>
        <v>PARTICIPA</v>
      </c>
    </row>
    <row r="866" spans="1:12" ht="19" x14ac:dyDescent="0.25">
      <c r="A866" s="45">
        <v>744167898</v>
      </c>
      <c r="B866" s="46" t="s">
        <v>12</v>
      </c>
      <c r="C866" s="46" t="s">
        <v>18</v>
      </c>
      <c r="D866" s="46" t="s">
        <v>25</v>
      </c>
      <c r="E866" s="49">
        <v>97.37</v>
      </c>
      <c r="F866" s="48">
        <v>10</v>
      </c>
      <c r="G866" s="78">
        <f t="shared" si="13"/>
        <v>973.7</v>
      </c>
      <c r="H866" s="120">
        <v>43480</v>
      </c>
      <c r="I866" s="50">
        <v>0.57500000000000007</v>
      </c>
      <c r="J866" s="46" t="s">
        <v>15</v>
      </c>
      <c r="K866" s="51">
        <v>4.9000000000000004</v>
      </c>
      <c r="L866" s="122" t="str">
        <f>IF(AND(Tabla_Ventas[[#This Row],[VENTA TOTAL]]&gt;=30,Tabla_Ventas[[#This Row],[TIPO DE CLIENTE/ Customer type]]="Member"),"PARTICIPA","NO PARTICIPA")</f>
        <v>NO PARTICIPA</v>
      </c>
    </row>
    <row r="867" spans="1:12" ht="19" x14ac:dyDescent="0.25">
      <c r="A867" s="45">
        <v>101814070</v>
      </c>
      <c r="B867" s="46" t="s">
        <v>16</v>
      </c>
      <c r="C867" s="46" t="s">
        <v>13</v>
      </c>
      <c r="D867" s="46" t="s">
        <v>20</v>
      </c>
      <c r="E867" s="49">
        <v>62.82</v>
      </c>
      <c r="F867" s="48">
        <v>2</v>
      </c>
      <c r="G867" s="78">
        <f t="shared" si="13"/>
        <v>125.64</v>
      </c>
      <c r="H867" s="120">
        <v>43482</v>
      </c>
      <c r="I867" s="50">
        <v>0.52500000000000002</v>
      </c>
      <c r="J867" s="46" t="s">
        <v>17</v>
      </c>
      <c r="K867" s="51">
        <v>4.9000000000000004</v>
      </c>
      <c r="L867" s="122" t="str">
        <f>IF(AND(Tabla_Ventas[[#This Row],[VENTA TOTAL]]&gt;=30,Tabla_Ventas[[#This Row],[TIPO DE CLIENTE/ Customer type]]="Member"),"PARTICIPA","NO PARTICIPA")</f>
        <v>PARTICIPA</v>
      </c>
    </row>
    <row r="868" spans="1:12" ht="19" x14ac:dyDescent="0.25">
      <c r="A868" s="45">
        <v>518716847</v>
      </c>
      <c r="B868" s="46" t="s">
        <v>12</v>
      </c>
      <c r="C868" s="46" t="s">
        <v>13</v>
      </c>
      <c r="D868" s="46" t="s">
        <v>24</v>
      </c>
      <c r="E868" s="49">
        <v>26.6</v>
      </c>
      <c r="F868" s="48">
        <v>6</v>
      </c>
      <c r="G868" s="78">
        <f t="shared" si="13"/>
        <v>159.60000000000002</v>
      </c>
      <c r="H868" s="120">
        <v>43522</v>
      </c>
      <c r="I868" s="50">
        <v>0.63194444444444442</v>
      </c>
      <c r="J868" s="46" t="s">
        <v>17</v>
      </c>
      <c r="K868" s="51">
        <v>4.9000000000000004</v>
      </c>
      <c r="L868" s="122" t="str">
        <f>IF(AND(Tabla_Ventas[[#This Row],[VENTA TOTAL]]&gt;=30,Tabla_Ventas[[#This Row],[TIPO DE CLIENTE/ Customer type]]="Member"),"PARTICIPA","NO PARTICIPA")</f>
        <v>PARTICIPA</v>
      </c>
    </row>
    <row r="869" spans="1:12" ht="19" x14ac:dyDescent="0.25">
      <c r="A869" s="45">
        <v>300714605</v>
      </c>
      <c r="B869" s="46" t="s">
        <v>12</v>
      </c>
      <c r="C869" s="46" t="s">
        <v>13</v>
      </c>
      <c r="D869" s="46" t="s">
        <v>21</v>
      </c>
      <c r="E869" s="47">
        <v>86.04</v>
      </c>
      <c r="F869" s="48">
        <v>5</v>
      </c>
      <c r="G869" s="78">
        <f t="shared" si="13"/>
        <v>430.20000000000005</v>
      </c>
      <c r="H869" s="120">
        <v>43521</v>
      </c>
      <c r="I869" s="50">
        <v>0.47500000000000003</v>
      </c>
      <c r="J869" s="46" t="s">
        <v>17</v>
      </c>
      <c r="K869" s="51">
        <v>4.8</v>
      </c>
      <c r="L869" s="122" t="str">
        <f>IF(AND(Tabla_Ventas[[#This Row],[VENTA TOTAL]]&gt;=30,Tabla_Ventas[[#This Row],[TIPO DE CLIENTE/ Customer type]]="Member"),"PARTICIPA","NO PARTICIPA")</f>
        <v>PARTICIPA</v>
      </c>
    </row>
    <row r="870" spans="1:12" ht="19" x14ac:dyDescent="0.25">
      <c r="A870" s="45">
        <v>871798483</v>
      </c>
      <c r="B870" s="46" t="s">
        <v>16</v>
      </c>
      <c r="C870" s="46" t="s">
        <v>18</v>
      </c>
      <c r="D870" s="46" t="s">
        <v>22</v>
      </c>
      <c r="E870" s="47">
        <v>94.13</v>
      </c>
      <c r="F870" s="48">
        <v>5</v>
      </c>
      <c r="G870" s="78">
        <f t="shared" si="13"/>
        <v>470.65</v>
      </c>
      <c r="H870" s="120">
        <v>43521</v>
      </c>
      <c r="I870" s="50">
        <v>0.81874999999999998</v>
      </c>
      <c r="J870" s="46" t="s">
        <v>15</v>
      </c>
      <c r="K870" s="51">
        <v>4.8</v>
      </c>
      <c r="L870" s="122" t="str">
        <f>IF(AND(Tabla_Ventas[[#This Row],[VENTA TOTAL]]&gt;=30,Tabla_Ventas[[#This Row],[TIPO DE CLIENTE/ Customer type]]="Member"),"PARTICIPA","NO PARTICIPA")</f>
        <v>NO PARTICIPA</v>
      </c>
    </row>
    <row r="871" spans="1:12" ht="19" x14ac:dyDescent="0.25">
      <c r="A871" s="45">
        <v>608963517</v>
      </c>
      <c r="B871" s="46" t="s">
        <v>16</v>
      </c>
      <c r="C871" s="46" t="s">
        <v>13</v>
      </c>
      <c r="D871" s="46" t="s">
        <v>22</v>
      </c>
      <c r="E871" s="47">
        <v>91.54</v>
      </c>
      <c r="F871" s="48">
        <v>4</v>
      </c>
      <c r="G871" s="78">
        <f t="shared" si="13"/>
        <v>366.16</v>
      </c>
      <c r="H871" s="120">
        <v>43547</v>
      </c>
      <c r="I871" s="50">
        <v>0.80555555555555547</v>
      </c>
      <c r="J871" s="46" t="s">
        <v>15</v>
      </c>
      <c r="K871" s="51">
        <v>4.8</v>
      </c>
      <c r="L871" s="122" t="str">
        <f>IF(AND(Tabla_Ventas[[#This Row],[VENTA TOTAL]]&gt;=30,Tabla_Ventas[[#This Row],[TIPO DE CLIENTE/ Customer type]]="Member"),"PARTICIPA","NO PARTICIPA")</f>
        <v>PARTICIPA</v>
      </c>
    </row>
    <row r="872" spans="1:12" ht="19" x14ac:dyDescent="0.25">
      <c r="A872" s="45">
        <v>234652137</v>
      </c>
      <c r="B872" s="46" t="s">
        <v>12</v>
      </c>
      <c r="C872" s="46" t="s">
        <v>18</v>
      </c>
      <c r="D872" s="46" t="s">
        <v>25</v>
      </c>
      <c r="E872" s="47">
        <v>95.58</v>
      </c>
      <c r="F872" s="48">
        <v>10</v>
      </c>
      <c r="G872" s="78">
        <f t="shared" si="13"/>
        <v>955.8</v>
      </c>
      <c r="H872" s="120">
        <v>43481</v>
      </c>
      <c r="I872" s="50">
        <v>0.56388888888888888</v>
      </c>
      <c r="J872" s="46" t="s">
        <v>23</v>
      </c>
      <c r="K872" s="51">
        <v>4.8</v>
      </c>
      <c r="L872" s="122" t="str">
        <f>IF(AND(Tabla_Ventas[[#This Row],[VENTA TOTAL]]&gt;=30,Tabla_Ventas[[#This Row],[TIPO DE CLIENTE/ Customer type]]="Member"),"PARTICIPA","NO PARTICIPA")</f>
        <v>NO PARTICIPA</v>
      </c>
    </row>
    <row r="873" spans="1:12" ht="19" x14ac:dyDescent="0.25">
      <c r="A873" s="45">
        <v>139522867</v>
      </c>
      <c r="B873" s="46" t="s">
        <v>12</v>
      </c>
      <c r="C873" s="46" t="s">
        <v>18</v>
      </c>
      <c r="D873" s="46" t="s">
        <v>22</v>
      </c>
      <c r="E873" s="47">
        <v>22.51</v>
      </c>
      <c r="F873" s="48">
        <v>7</v>
      </c>
      <c r="G873" s="78">
        <f t="shared" si="13"/>
        <v>157.57000000000002</v>
      </c>
      <c r="H873" s="120">
        <v>43509</v>
      </c>
      <c r="I873" s="50">
        <v>0.4513888888888889</v>
      </c>
      <c r="J873" s="46" t="s">
        <v>15</v>
      </c>
      <c r="K873" s="51">
        <v>4.8</v>
      </c>
      <c r="L873" s="122" t="str">
        <f>IF(AND(Tabla_Ventas[[#This Row],[VENTA TOTAL]]&gt;=30,Tabla_Ventas[[#This Row],[TIPO DE CLIENTE/ Customer type]]="Member"),"PARTICIPA","NO PARTICIPA")</f>
        <v>NO PARTICIPA</v>
      </c>
    </row>
    <row r="874" spans="1:12" ht="19" x14ac:dyDescent="0.25">
      <c r="A874" s="45">
        <v>866057563</v>
      </c>
      <c r="B874" s="46" t="s">
        <v>16</v>
      </c>
      <c r="C874" s="46" t="s">
        <v>13</v>
      </c>
      <c r="D874" s="46" t="s">
        <v>21</v>
      </c>
      <c r="E874" s="47">
        <v>81.400000000000006</v>
      </c>
      <c r="F874" s="48">
        <v>3</v>
      </c>
      <c r="G874" s="78">
        <f t="shared" si="13"/>
        <v>244.20000000000002</v>
      </c>
      <c r="H874" s="120">
        <v>43710</v>
      </c>
      <c r="I874" s="50">
        <v>0.82152777777777775</v>
      </c>
      <c r="J874" s="46" t="s">
        <v>23</v>
      </c>
      <c r="K874" s="51">
        <v>4.8</v>
      </c>
      <c r="L874" s="122" t="str">
        <f>IF(AND(Tabla_Ventas[[#This Row],[VENTA TOTAL]]&gt;=30,Tabla_Ventas[[#This Row],[TIPO DE CLIENTE/ Customer type]]="Member"),"PARTICIPA","NO PARTICIPA")</f>
        <v>PARTICIPA</v>
      </c>
    </row>
    <row r="875" spans="1:12" ht="19" x14ac:dyDescent="0.25">
      <c r="A875" s="45">
        <v>400451220</v>
      </c>
      <c r="B875" s="46" t="s">
        <v>16</v>
      </c>
      <c r="C875" s="46" t="s">
        <v>18</v>
      </c>
      <c r="D875" s="46" t="s">
        <v>20</v>
      </c>
      <c r="E875" s="47">
        <v>13.5</v>
      </c>
      <c r="F875" s="48">
        <v>10</v>
      </c>
      <c r="G875" s="78">
        <f t="shared" si="13"/>
        <v>135</v>
      </c>
      <c r="H875" s="120">
        <v>43523</v>
      </c>
      <c r="I875" s="50">
        <v>0.46249999999999997</v>
      </c>
      <c r="J875" s="46" t="s">
        <v>15</v>
      </c>
      <c r="K875" s="51">
        <v>4.8</v>
      </c>
      <c r="L875" s="122" t="str">
        <f>IF(AND(Tabla_Ventas[[#This Row],[VENTA TOTAL]]&gt;=30,Tabla_Ventas[[#This Row],[TIPO DE CLIENTE/ Customer type]]="Member"),"PARTICIPA","NO PARTICIPA")</f>
        <v>NO PARTICIPA</v>
      </c>
    </row>
    <row r="876" spans="1:12" ht="19" x14ac:dyDescent="0.25">
      <c r="A876" s="45">
        <v>565676697</v>
      </c>
      <c r="B876" s="46" t="s">
        <v>16</v>
      </c>
      <c r="C876" s="46" t="s">
        <v>13</v>
      </c>
      <c r="D876" s="46" t="s">
        <v>25</v>
      </c>
      <c r="E876" s="47">
        <v>27</v>
      </c>
      <c r="F876" s="48">
        <v>9</v>
      </c>
      <c r="G876" s="78">
        <f t="shared" si="13"/>
        <v>243</v>
      </c>
      <c r="H876" s="120">
        <v>43499</v>
      </c>
      <c r="I876" s="50">
        <v>0.59444444444444444</v>
      </c>
      <c r="J876" s="46" t="s">
        <v>23</v>
      </c>
      <c r="K876" s="51">
        <v>4.8</v>
      </c>
      <c r="L876" s="122" t="str">
        <f>IF(AND(Tabla_Ventas[[#This Row],[VENTA TOTAL]]&gt;=30,Tabla_Ventas[[#This Row],[TIPO DE CLIENTE/ Customer type]]="Member"),"PARTICIPA","NO PARTICIPA")</f>
        <v>PARTICIPA</v>
      </c>
    </row>
    <row r="877" spans="1:12" ht="19" x14ac:dyDescent="0.25">
      <c r="A877" s="45">
        <v>727170390</v>
      </c>
      <c r="B877" s="46" t="s">
        <v>19</v>
      </c>
      <c r="C877" s="46" t="s">
        <v>18</v>
      </c>
      <c r="D877" s="46" t="s">
        <v>24</v>
      </c>
      <c r="E877" s="47">
        <v>63.61</v>
      </c>
      <c r="F877" s="48">
        <v>5</v>
      </c>
      <c r="G877" s="78">
        <f t="shared" si="13"/>
        <v>318.05</v>
      </c>
      <c r="H877" s="120">
        <v>43540</v>
      </c>
      <c r="I877" s="50">
        <v>0.52986111111111112</v>
      </c>
      <c r="J877" s="46" t="s">
        <v>17</v>
      </c>
      <c r="K877" s="51">
        <v>4.8</v>
      </c>
      <c r="L877" s="122" t="str">
        <f>IF(AND(Tabla_Ventas[[#This Row],[VENTA TOTAL]]&gt;=30,Tabla_Ventas[[#This Row],[TIPO DE CLIENTE/ Customer type]]="Member"),"PARTICIPA","NO PARTICIPA")</f>
        <v>NO PARTICIPA</v>
      </c>
    </row>
    <row r="878" spans="1:12" ht="19" x14ac:dyDescent="0.25">
      <c r="A878" s="45">
        <v>880350356</v>
      </c>
      <c r="B878" s="46" t="s">
        <v>19</v>
      </c>
      <c r="C878" s="46" t="s">
        <v>13</v>
      </c>
      <c r="D878" s="46" t="s">
        <v>14</v>
      </c>
      <c r="E878" s="47">
        <v>75.2</v>
      </c>
      <c r="F878" s="48">
        <v>3</v>
      </c>
      <c r="G878" s="78">
        <f t="shared" si="13"/>
        <v>225.60000000000002</v>
      </c>
      <c r="H878" s="120">
        <v>43587</v>
      </c>
      <c r="I878" s="50">
        <v>0.49374999999999997</v>
      </c>
      <c r="J878" s="46" t="s">
        <v>17</v>
      </c>
      <c r="K878" s="51">
        <v>4.8</v>
      </c>
      <c r="L878" s="122" t="str">
        <f>IF(AND(Tabla_Ventas[[#This Row],[VENTA TOTAL]]&gt;=30,Tabla_Ventas[[#This Row],[TIPO DE CLIENTE/ Customer type]]="Member"),"PARTICIPA","NO PARTICIPA")</f>
        <v>PARTICIPA</v>
      </c>
    </row>
    <row r="879" spans="1:12" ht="19" x14ac:dyDescent="0.25">
      <c r="A879" s="45">
        <v>811038790</v>
      </c>
      <c r="B879" s="46" t="s">
        <v>19</v>
      </c>
      <c r="C879" s="46" t="s">
        <v>18</v>
      </c>
      <c r="D879" s="46" t="s">
        <v>21</v>
      </c>
      <c r="E879" s="49">
        <v>45.48</v>
      </c>
      <c r="F879" s="48">
        <v>10</v>
      </c>
      <c r="G879" s="78">
        <f t="shared" si="13"/>
        <v>454.79999999999995</v>
      </c>
      <c r="H879" s="120">
        <v>43468</v>
      </c>
      <c r="I879" s="50">
        <v>0.43194444444444446</v>
      </c>
      <c r="J879" s="46" t="s">
        <v>15</v>
      </c>
      <c r="K879" s="51">
        <v>4.8</v>
      </c>
      <c r="L879" s="122" t="str">
        <f>IF(AND(Tabla_Ventas[[#This Row],[VENTA TOTAL]]&gt;=30,Tabla_Ventas[[#This Row],[TIPO DE CLIENTE/ Customer type]]="Member"),"PARTICIPA","NO PARTICIPA")</f>
        <v>NO PARTICIPA</v>
      </c>
    </row>
    <row r="880" spans="1:12" ht="19" x14ac:dyDescent="0.25">
      <c r="A880" s="45">
        <v>162658559</v>
      </c>
      <c r="B880" s="46" t="s">
        <v>16</v>
      </c>
      <c r="C880" s="46" t="s">
        <v>13</v>
      </c>
      <c r="D880" s="46" t="s">
        <v>24</v>
      </c>
      <c r="E880" s="49">
        <v>68.98</v>
      </c>
      <c r="F880" s="48">
        <v>1</v>
      </c>
      <c r="G880" s="78">
        <f t="shared" si="13"/>
        <v>68.98</v>
      </c>
      <c r="H880" s="120">
        <v>43486</v>
      </c>
      <c r="I880" s="50">
        <v>0.84236111111111101</v>
      </c>
      <c r="J880" s="46" t="s">
        <v>23</v>
      </c>
      <c r="K880" s="51">
        <v>4.8</v>
      </c>
      <c r="L880" s="122" t="str">
        <f>IF(AND(Tabla_Ventas[[#This Row],[VENTA TOTAL]]&gt;=30,Tabla_Ventas[[#This Row],[TIPO DE CLIENTE/ Customer type]]="Member"),"PARTICIPA","NO PARTICIPA")</f>
        <v>PARTICIPA</v>
      </c>
    </row>
    <row r="881" spans="1:12" ht="19" x14ac:dyDescent="0.25">
      <c r="A881" s="45">
        <v>635285728</v>
      </c>
      <c r="B881" s="46" t="s">
        <v>19</v>
      </c>
      <c r="C881" s="46" t="s">
        <v>18</v>
      </c>
      <c r="D881" s="46" t="s">
        <v>20</v>
      </c>
      <c r="E881" s="49">
        <v>56</v>
      </c>
      <c r="F881" s="48">
        <v>3</v>
      </c>
      <c r="G881" s="78">
        <f t="shared" si="13"/>
        <v>168</v>
      </c>
      <c r="H881" s="120">
        <v>43524</v>
      </c>
      <c r="I881" s="50">
        <v>0.81458333333333333</v>
      </c>
      <c r="J881" s="46" t="s">
        <v>17</v>
      </c>
      <c r="K881" s="51">
        <v>4.8</v>
      </c>
      <c r="L881" s="122" t="str">
        <f>IF(AND(Tabla_Ventas[[#This Row],[VENTA TOTAL]]&gt;=30,Tabla_Ventas[[#This Row],[TIPO DE CLIENTE/ Customer type]]="Member"),"PARTICIPA","NO PARTICIPA")</f>
        <v>NO PARTICIPA</v>
      </c>
    </row>
    <row r="882" spans="1:12" ht="19" x14ac:dyDescent="0.25">
      <c r="A882" s="45">
        <v>272651806</v>
      </c>
      <c r="B882" s="46" t="s">
        <v>19</v>
      </c>
      <c r="C882" s="46" t="s">
        <v>18</v>
      </c>
      <c r="D882" s="46" t="s">
        <v>21</v>
      </c>
      <c r="E882" s="47">
        <v>60.88</v>
      </c>
      <c r="F882" s="48">
        <v>9</v>
      </c>
      <c r="G882" s="78">
        <f t="shared" si="13"/>
        <v>547.92000000000007</v>
      </c>
      <c r="H882" s="120">
        <v>43480</v>
      </c>
      <c r="I882" s="50">
        <v>0.72013888888888899</v>
      </c>
      <c r="J882" s="46" t="s">
        <v>17</v>
      </c>
      <c r="K882" s="51">
        <v>4.7</v>
      </c>
      <c r="L882" s="122" t="str">
        <f>IF(AND(Tabla_Ventas[[#This Row],[VENTA TOTAL]]&gt;=30,Tabla_Ventas[[#This Row],[TIPO DE CLIENTE/ Customer type]]="Member"),"PARTICIPA","NO PARTICIPA")</f>
        <v>NO PARTICIPA</v>
      </c>
    </row>
    <row r="883" spans="1:12" ht="19" x14ac:dyDescent="0.25">
      <c r="A883" s="45">
        <v>278977759</v>
      </c>
      <c r="B883" s="46" t="s">
        <v>19</v>
      </c>
      <c r="C883" s="46" t="s">
        <v>13</v>
      </c>
      <c r="D883" s="46" t="s">
        <v>21</v>
      </c>
      <c r="E883" s="47">
        <v>62.48</v>
      </c>
      <c r="F883" s="48">
        <v>1</v>
      </c>
      <c r="G883" s="78">
        <f t="shared" si="13"/>
        <v>62.48</v>
      </c>
      <c r="H883" s="120">
        <v>43514</v>
      </c>
      <c r="I883" s="50">
        <v>0.8534722222222223</v>
      </c>
      <c r="J883" s="46" t="s">
        <v>23</v>
      </c>
      <c r="K883" s="51">
        <v>4.7</v>
      </c>
      <c r="L883" s="122" t="str">
        <f>IF(AND(Tabla_Ventas[[#This Row],[VENTA TOTAL]]&gt;=30,Tabla_Ventas[[#This Row],[TIPO DE CLIENTE/ Customer type]]="Member"),"PARTICIPA","NO PARTICIPA")</f>
        <v>PARTICIPA</v>
      </c>
    </row>
    <row r="884" spans="1:12" ht="19" x14ac:dyDescent="0.25">
      <c r="A884" s="45">
        <v>573103877</v>
      </c>
      <c r="B884" s="46" t="s">
        <v>16</v>
      </c>
      <c r="C884" s="46" t="s">
        <v>13</v>
      </c>
      <c r="D884" s="46" t="s">
        <v>20</v>
      </c>
      <c r="E884" s="47">
        <v>39.01</v>
      </c>
      <c r="F884" s="48">
        <v>1</v>
      </c>
      <c r="G884" s="78">
        <f t="shared" si="13"/>
        <v>39.01</v>
      </c>
      <c r="H884" s="120">
        <v>43509</v>
      </c>
      <c r="I884" s="50">
        <v>0.69861111111111107</v>
      </c>
      <c r="J884" s="46" t="s">
        <v>15</v>
      </c>
      <c r="K884" s="51">
        <v>4.7</v>
      </c>
      <c r="L884" s="122" t="str">
        <f>IF(AND(Tabla_Ventas[[#This Row],[VENTA TOTAL]]&gt;=30,Tabla_Ventas[[#This Row],[TIPO DE CLIENTE/ Customer type]]="Member"),"PARTICIPA","NO PARTICIPA")</f>
        <v>PARTICIPA</v>
      </c>
    </row>
    <row r="885" spans="1:12" ht="19" x14ac:dyDescent="0.25">
      <c r="A885" s="45">
        <v>439547422</v>
      </c>
      <c r="B885" s="46" t="s">
        <v>19</v>
      </c>
      <c r="C885" s="46" t="s">
        <v>18</v>
      </c>
      <c r="D885" s="46" t="s">
        <v>21</v>
      </c>
      <c r="E885" s="47">
        <v>51.19</v>
      </c>
      <c r="F885" s="48">
        <v>4</v>
      </c>
      <c r="G885" s="78">
        <f t="shared" si="13"/>
        <v>204.76</v>
      </c>
      <c r="H885" s="120">
        <v>43542</v>
      </c>
      <c r="I885" s="50">
        <v>0.71875</v>
      </c>
      <c r="J885" s="46" t="s">
        <v>15</v>
      </c>
      <c r="K885" s="51">
        <v>4.7</v>
      </c>
      <c r="L885" s="122" t="str">
        <f>IF(AND(Tabla_Ventas[[#This Row],[VENTA TOTAL]]&gt;=30,Tabla_Ventas[[#This Row],[TIPO DE CLIENTE/ Customer type]]="Member"),"PARTICIPA","NO PARTICIPA")</f>
        <v>NO PARTICIPA</v>
      </c>
    </row>
    <row r="886" spans="1:12" ht="19" x14ac:dyDescent="0.25">
      <c r="A886" s="45">
        <v>512981403</v>
      </c>
      <c r="B886" s="46" t="s">
        <v>19</v>
      </c>
      <c r="C886" s="46" t="s">
        <v>13</v>
      </c>
      <c r="D886" s="46" t="s">
        <v>21</v>
      </c>
      <c r="E886" s="47">
        <v>26.48</v>
      </c>
      <c r="F886" s="48">
        <v>3</v>
      </c>
      <c r="G886" s="78">
        <f t="shared" si="13"/>
        <v>79.44</v>
      </c>
      <c r="H886" s="120">
        <v>43488</v>
      </c>
      <c r="I886" s="50">
        <v>0.44444444444444442</v>
      </c>
      <c r="J886" s="46" t="s">
        <v>17</v>
      </c>
      <c r="K886" s="51">
        <v>4.7</v>
      </c>
      <c r="L886" s="122" t="str">
        <f>IF(AND(Tabla_Ventas[[#This Row],[VENTA TOTAL]]&gt;=30,Tabla_Ventas[[#This Row],[TIPO DE CLIENTE/ Customer type]]="Member"),"PARTICIPA","NO PARTICIPA")</f>
        <v>PARTICIPA</v>
      </c>
    </row>
    <row r="887" spans="1:12" ht="19" x14ac:dyDescent="0.25">
      <c r="A887" s="45">
        <v>725963778</v>
      </c>
      <c r="B887" s="46" t="s">
        <v>12</v>
      </c>
      <c r="C887" s="46" t="s">
        <v>13</v>
      </c>
      <c r="D887" s="46" t="s">
        <v>25</v>
      </c>
      <c r="E887" s="47">
        <v>89.25</v>
      </c>
      <c r="F887" s="48">
        <v>8</v>
      </c>
      <c r="G887" s="78">
        <f t="shared" si="13"/>
        <v>714</v>
      </c>
      <c r="H887" s="120">
        <v>43485</v>
      </c>
      <c r="I887" s="50">
        <v>0.42569444444444443</v>
      </c>
      <c r="J887" s="46" t="s">
        <v>23</v>
      </c>
      <c r="K887" s="51">
        <v>4.7</v>
      </c>
      <c r="L887" s="122" t="str">
        <f>IF(AND(Tabla_Ventas[[#This Row],[VENTA TOTAL]]&gt;=30,Tabla_Ventas[[#This Row],[TIPO DE CLIENTE/ Customer type]]="Member"),"PARTICIPA","NO PARTICIPA")</f>
        <v>PARTICIPA</v>
      </c>
    </row>
    <row r="888" spans="1:12" ht="19" x14ac:dyDescent="0.25">
      <c r="A888" s="45">
        <v>187835490</v>
      </c>
      <c r="B888" s="46" t="s">
        <v>19</v>
      </c>
      <c r="C888" s="46" t="s">
        <v>13</v>
      </c>
      <c r="D888" s="46" t="s">
        <v>21</v>
      </c>
      <c r="E888" s="47">
        <v>20.77</v>
      </c>
      <c r="F888" s="48">
        <v>4</v>
      </c>
      <c r="G888" s="78">
        <f t="shared" si="13"/>
        <v>83.08</v>
      </c>
      <c r="H888" s="120">
        <v>43496</v>
      </c>
      <c r="I888" s="50">
        <v>0.57430555555555551</v>
      </c>
      <c r="J888" s="46" t="s">
        <v>23</v>
      </c>
      <c r="K888" s="51">
        <v>4.7</v>
      </c>
      <c r="L888" s="122" t="str">
        <f>IF(AND(Tabla_Ventas[[#This Row],[VENTA TOTAL]]&gt;=30,Tabla_Ventas[[#This Row],[TIPO DE CLIENTE/ Customer type]]="Member"),"PARTICIPA","NO PARTICIPA")</f>
        <v>PARTICIPA</v>
      </c>
    </row>
    <row r="889" spans="1:12" ht="19" x14ac:dyDescent="0.25">
      <c r="A889" s="45">
        <v>420047590</v>
      </c>
      <c r="B889" s="46" t="s">
        <v>12</v>
      </c>
      <c r="C889" s="46" t="s">
        <v>18</v>
      </c>
      <c r="D889" s="46" t="s">
        <v>25</v>
      </c>
      <c r="E889" s="49">
        <v>99.7</v>
      </c>
      <c r="F889" s="48">
        <v>3</v>
      </c>
      <c r="G889" s="78">
        <f t="shared" si="13"/>
        <v>299.10000000000002</v>
      </c>
      <c r="H889" s="120">
        <v>43542</v>
      </c>
      <c r="I889" s="50">
        <v>0.47847222222222219</v>
      </c>
      <c r="J889" s="46" t="s">
        <v>17</v>
      </c>
      <c r="K889" s="51">
        <v>4.7</v>
      </c>
      <c r="L889" s="122" t="str">
        <f>IF(AND(Tabla_Ventas[[#This Row],[VENTA TOTAL]]&gt;=30,Tabla_Ventas[[#This Row],[TIPO DE CLIENTE/ Customer type]]="Member"),"PARTICIPA","NO PARTICIPA")</f>
        <v>NO PARTICIPA</v>
      </c>
    </row>
    <row r="890" spans="1:12" ht="19" x14ac:dyDescent="0.25">
      <c r="A890" s="45">
        <v>155453814</v>
      </c>
      <c r="B890" s="46" t="s">
        <v>16</v>
      </c>
      <c r="C890" s="46" t="s">
        <v>13</v>
      </c>
      <c r="D890" s="46" t="s">
        <v>21</v>
      </c>
      <c r="E890" s="49">
        <v>88.55</v>
      </c>
      <c r="F890" s="48">
        <v>8</v>
      </c>
      <c r="G890" s="78">
        <f t="shared" si="13"/>
        <v>708.4</v>
      </c>
      <c r="H890" s="120">
        <v>43543</v>
      </c>
      <c r="I890" s="50">
        <v>0.64513888888888882</v>
      </c>
      <c r="J890" s="46" t="s">
        <v>17</v>
      </c>
      <c r="K890" s="51">
        <v>4.7</v>
      </c>
      <c r="L890" s="122" t="str">
        <f>IF(AND(Tabla_Ventas[[#This Row],[VENTA TOTAL]]&gt;=30,Tabla_Ventas[[#This Row],[TIPO DE CLIENTE/ Customer type]]="Member"),"PARTICIPA","NO PARTICIPA")</f>
        <v>PARTICIPA</v>
      </c>
    </row>
    <row r="891" spans="1:12" ht="19" x14ac:dyDescent="0.25">
      <c r="A891" s="45">
        <v>593144239</v>
      </c>
      <c r="B891" s="46" t="s">
        <v>12</v>
      </c>
      <c r="C891" s="46" t="s">
        <v>18</v>
      </c>
      <c r="D891" s="46" t="s">
        <v>25</v>
      </c>
      <c r="E891" s="49">
        <v>95.46</v>
      </c>
      <c r="F891" s="48">
        <v>8</v>
      </c>
      <c r="G891" s="78">
        <f t="shared" si="13"/>
        <v>763.68</v>
      </c>
      <c r="H891" s="120">
        <v>43529</v>
      </c>
      <c r="I891" s="50">
        <v>0.81944444444444453</v>
      </c>
      <c r="J891" s="46" t="s">
        <v>17</v>
      </c>
      <c r="K891" s="51">
        <v>4.7</v>
      </c>
      <c r="L891" s="122" t="str">
        <f>IF(AND(Tabla_Ventas[[#This Row],[VENTA TOTAL]]&gt;=30,Tabla_Ventas[[#This Row],[TIPO DE CLIENTE/ Customer type]]="Member"),"PARTICIPA","NO PARTICIPA")</f>
        <v>NO PARTICIPA</v>
      </c>
    </row>
    <row r="892" spans="1:12" ht="19" x14ac:dyDescent="0.25">
      <c r="A892" s="45">
        <v>676102200</v>
      </c>
      <c r="B892" s="46" t="s">
        <v>12</v>
      </c>
      <c r="C892" s="46" t="s">
        <v>13</v>
      </c>
      <c r="D892" s="46" t="s">
        <v>22</v>
      </c>
      <c r="E892" s="49">
        <v>53.78</v>
      </c>
      <c r="F892" s="48">
        <v>1</v>
      </c>
      <c r="G892" s="78">
        <f t="shared" si="13"/>
        <v>53.78</v>
      </c>
      <c r="H892" s="120">
        <v>43499</v>
      </c>
      <c r="I892" s="50">
        <v>0.84236111111111101</v>
      </c>
      <c r="J892" s="46" t="s">
        <v>17</v>
      </c>
      <c r="K892" s="51">
        <v>4.7</v>
      </c>
      <c r="L892" s="122" t="str">
        <f>IF(AND(Tabla_Ventas[[#This Row],[VENTA TOTAL]]&gt;=30,Tabla_Ventas[[#This Row],[TIPO DE CLIENTE/ Customer type]]="Member"),"PARTICIPA","NO PARTICIPA")</f>
        <v>PARTICIPA</v>
      </c>
    </row>
    <row r="893" spans="1:12" ht="19" x14ac:dyDescent="0.25">
      <c r="A893" s="45">
        <v>305892768</v>
      </c>
      <c r="B893" s="46" t="s">
        <v>12</v>
      </c>
      <c r="C893" s="46" t="s">
        <v>13</v>
      </c>
      <c r="D893" s="46" t="s">
        <v>25</v>
      </c>
      <c r="E893" s="49">
        <v>21.9</v>
      </c>
      <c r="F893" s="48">
        <v>3</v>
      </c>
      <c r="G893" s="78">
        <f t="shared" si="13"/>
        <v>65.699999999999989</v>
      </c>
      <c r="H893" s="120">
        <v>43474</v>
      </c>
      <c r="I893" s="50">
        <v>0.77986111111111101</v>
      </c>
      <c r="J893" s="46" t="s">
        <v>17</v>
      </c>
      <c r="K893" s="51">
        <v>4.7</v>
      </c>
      <c r="L893" s="122" t="str">
        <f>IF(AND(Tabla_Ventas[[#This Row],[VENTA TOTAL]]&gt;=30,Tabla_Ventas[[#This Row],[TIPO DE CLIENTE/ Customer type]]="Member"),"PARTICIPA","NO PARTICIPA")</f>
        <v>PARTICIPA</v>
      </c>
    </row>
    <row r="894" spans="1:12" ht="19" x14ac:dyDescent="0.25">
      <c r="A894" s="45">
        <v>656959349</v>
      </c>
      <c r="B894" s="46" t="s">
        <v>19</v>
      </c>
      <c r="C894" s="46" t="s">
        <v>13</v>
      </c>
      <c r="D894" s="46" t="s">
        <v>20</v>
      </c>
      <c r="E894" s="47">
        <v>68.930000000000007</v>
      </c>
      <c r="F894" s="48">
        <v>7</v>
      </c>
      <c r="G894" s="78">
        <f t="shared" si="13"/>
        <v>482.51000000000005</v>
      </c>
      <c r="H894" s="120">
        <v>43478</v>
      </c>
      <c r="I894" s="50">
        <v>0.4604166666666667</v>
      </c>
      <c r="J894" s="46" t="s">
        <v>15</v>
      </c>
      <c r="K894" s="51">
        <v>4.5999999999999996</v>
      </c>
      <c r="L894" s="122" t="str">
        <f>IF(AND(Tabla_Ventas[[#This Row],[VENTA TOTAL]]&gt;=30,Tabla_Ventas[[#This Row],[TIPO DE CLIENTE/ Customer type]]="Member"),"PARTICIPA","NO PARTICIPA")</f>
        <v>PARTICIPA</v>
      </c>
    </row>
    <row r="895" spans="1:12" ht="19" x14ac:dyDescent="0.25">
      <c r="A895" s="45">
        <v>479268945</v>
      </c>
      <c r="B895" s="46" t="s">
        <v>16</v>
      </c>
      <c r="C895" s="46" t="s">
        <v>13</v>
      </c>
      <c r="D895" s="46" t="s">
        <v>14</v>
      </c>
      <c r="E895" s="47">
        <v>16.489999999999998</v>
      </c>
      <c r="F895" s="48">
        <v>2</v>
      </c>
      <c r="G895" s="78">
        <f t="shared" si="13"/>
        <v>32.979999999999997</v>
      </c>
      <c r="H895" s="120">
        <v>43587</v>
      </c>
      <c r="I895" s="50">
        <v>0.48055555555555557</v>
      </c>
      <c r="J895" s="46" t="s">
        <v>17</v>
      </c>
      <c r="K895" s="51">
        <v>4.5999999999999996</v>
      </c>
      <c r="L895" s="122" t="str">
        <f>IF(AND(Tabla_Ventas[[#This Row],[VENTA TOTAL]]&gt;=30,Tabla_Ventas[[#This Row],[TIPO DE CLIENTE/ Customer type]]="Member"),"PARTICIPA","NO PARTICIPA")</f>
        <v>PARTICIPA</v>
      </c>
    </row>
    <row r="896" spans="1:12" ht="19" x14ac:dyDescent="0.25">
      <c r="A896" s="45">
        <v>336782147</v>
      </c>
      <c r="B896" s="46" t="s">
        <v>12</v>
      </c>
      <c r="C896" s="46" t="s">
        <v>13</v>
      </c>
      <c r="D896" s="46" t="s">
        <v>25</v>
      </c>
      <c r="E896" s="47">
        <v>63.91</v>
      </c>
      <c r="F896" s="48">
        <v>8</v>
      </c>
      <c r="G896" s="78">
        <f t="shared" si="13"/>
        <v>511.28</v>
      </c>
      <c r="H896" s="120">
        <v>43537</v>
      </c>
      <c r="I896" s="50">
        <v>0.82777777777777783</v>
      </c>
      <c r="J896" s="46" t="s">
        <v>15</v>
      </c>
      <c r="K896" s="51">
        <v>4.5999999999999996</v>
      </c>
      <c r="L896" s="122" t="str">
        <f>IF(AND(Tabla_Ventas[[#This Row],[VENTA TOTAL]]&gt;=30,Tabla_Ventas[[#This Row],[TIPO DE CLIENTE/ Customer type]]="Member"),"PARTICIPA","NO PARTICIPA")</f>
        <v>PARTICIPA</v>
      </c>
    </row>
    <row r="897" spans="1:12" ht="19" x14ac:dyDescent="0.25">
      <c r="A897" s="45">
        <v>437588131</v>
      </c>
      <c r="B897" s="46" t="s">
        <v>16</v>
      </c>
      <c r="C897" s="46" t="s">
        <v>18</v>
      </c>
      <c r="D897" s="46" t="s">
        <v>22</v>
      </c>
      <c r="E897" s="47">
        <v>73.52</v>
      </c>
      <c r="F897" s="48">
        <v>2</v>
      </c>
      <c r="G897" s="78">
        <f t="shared" si="13"/>
        <v>147.04</v>
      </c>
      <c r="H897" s="120">
        <v>43480</v>
      </c>
      <c r="I897" s="50">
        <v>0.57013888888888886</v>
      </c>
      <c r="J897" s="46" t="s">
        <v>17</v>
      </c>
      <c r="K897" s="51">
        <v>4.5999999999999996</v>
      </c>
      <c r="L897" s="122" t="str">
        <f>IF(AND(Tabla_Ventas[[#This Row],[VENTA TOTAL]]&gt;=30,Tabla_Ventas[[#This Row],[TIPO DE CLIENTE/ Customer type]]="Member"),"PARTICIPA","NO PARTICIPA")</f>
        <v>NO PARTICIPA</v>
      </c>
    </row>
    <row r="898" spans="1:12" ht="19" x14ac:dyDescent="0.25">
      <c r="A898" s="45">
        <v>316013952</v>
      </c>
      <c r="B898" s="46" t="s">
        <v>19</v>
      </c>
      <c r="C898" s="46" t="s">
        <v>18</v>
      </c>
      <c r="D898" s="46" t="s">
        <v>24</v>
      </c>
      <c r="E898" s="47">
        <v>54.27</v>
      </c>
      <c r="F898" s="48">
        <v>5</v>
      </c>
      <c r="G898" s="78">
        <f t="shared" si="13"/>
        <v>271.35000000000002</v>
      </c>
      <c r="H898" s="120">
        <v>43537</v>
      </c>
      <c r="I898" s="50">
        <v>0.59444444444444444</v>
      </c>
      <c r="J898" s="46" t="s">
        <v>17</v>
      </c>
      <c r="K898" s="51">
        <v>4.5999999999999996</v>
      </c>
      <c r="L898" s="122" t="str">
        <f>IF(AND(Tabla_Ventas[[#This Row],[VENTA TOTAL]]&gt;=30,Tabla_Ventas[[#This Row],[TIPO DE CLIENTE/ Customer type]]="Member"),"PARTICIPA","NO PARTICIPA")</f>
        <v>NO PARTICIPA</v>
      </c>
    </row>
    <row r="899" spans="1:12" ht="19" x14ac:dyDescent="0.25">
      <c r="A899" s="45">
        <v>731597531</v>
      </c>
      <c r="B899" s="46" t="s">
        <v>16</v>
      </c>
      <c r="C899" s="46" t="s">
        <v>13</v>
      </c>
      <c r="D899" s="46" t="s">
        <v>20</v>
      </c>
      <c r="E899" s="47">
        <v>72.569999999999993</v>
      </c>
      <c r="F899" s="48">
        <v>8</v>
      </c>
      <c r="G899" s="78">
        <f t="shared" si="13"/>
        <v>580.55999999999995</v>
      </c>
      <c r="H899" s="120">
        <v>43554</v>
      </c>
      <c r="I899" s="50">
        <v>0.74861111111111101</v>
      </c>
      <c r="J899" s="46" t="s">
        <v>23</v>
      </c>
      <c r="K899" s="51">
        <v>4.5999999999999996</v>
      </c>
      <c r="L899" s="122" t="str">
        <f>IF(AND(Tabla_Ventas[[#This Row],[VENTA TOTAL]]&gt;=30,Tabla_Ventas[[#This Row],[TIPO DE CLIENTE/ Customer type]]="Member"),"PARTICIPA","NO PARTICIPA")</f>
        <v>PARTICIPA</v>
      </c>
    </row>
    <row r="900" spans="1:12" ht="19" x14ac:dyDescent="0.25">
      <c r="A900" s="45">
        <v>242113142</v>
      </c>
      <c r="B900" s="46" t="s">
        <v>12</v>
      </c>
      <c r="C900" s="46" t="s">
        <v>13</v>
      </c>
      <c r="D900" s="46" t="s">
        <v>22</v>
      </c>
      <c r="E900" s="49">
        <v>83.77</v>
      </c>
      <c r="F900" s="48">
        <v>2</v>
      </c>
      <c r="G900" s="78">
        <f t="shared" ref="G900:G963" si="14">F900*E900</f>
        <v>167.54</v>
      </c>
      <c r="H900" s="120">
        <v>43520</v>
      </c>
      <c r="I900" s="50">
        <v>0.83124999999999993</v>
      </c>
      <c r="J900" s="46" t="s">
        <v>23</v>
      </c>
      <c r="K900" s="51">
        <v>4.5999999999999996</v>
      </c>
      <c r="L900" s="122" t="str">
        <f>IF(AND(Tabla_Ventas[[#This Row],[VENTA TOTAL]]&gt;=30,Tabla_Ventas[[#This Row],[TIPO DE CLIENTE/ Customer type]]="Member"),"PARTICIPA","NO PARTICIPA")</f>
        <v>PARTICIPA</v>
      </c>
    </row>
    <row r="901" spans="1:12" ht="19" x14ac:dyDescent="0.25">
      <c r="A901" s="45">
        <v>146095432</v>
      </c>
      <c r="B901" s="46" t="s">
        <v>19</v>
      </c>
      <c r="C901" s="46" t="s">
        <v>13</v>
      </c>
      <c r="D901" s="46" t="s">
        <v>24</v>
      </c>
      <c r="E901" s="49">
        <v>35.04</v>
      </c>
      <c r="F901" s="48">
        <v>9</v>
      </c>
      <c r="G901" s="78">
        <f t="shared" si="14"/>
        <v>315.36</v>
      </c>
      <c r="H901" s="120">
        <v>43505</v>
      </c>
      <c r="I901" s="50">
        <v>0.80347222222222225</v>
      </c>
      <c r="J901" s="46" t="s">
        <v>17</v>
      </c>
      <c r="K901" s="51">
        <v>4.5999999999999996</v>
      </c>
      <c r="L901" s="122" t="str">
        <f>IF(AND(Tabla_Ventas[[#This Row],[VENTA TOTAL]]&gt;=30,Tabla_Ventas[[#This Row],[TIPO DE CLIENTE/ Customer type]]="Member"),"PARTICIPA","NO PARTICIPA")</f>
        <v>PARTICIPA</v>
      </c>
    </row>
    <row r="902" spans="1:12" ht="19" x14ac:dyDescent="0.25">
      <c r="A902" s="45">
        <v>351620822</v>
      </c>
      <c r="B902" s="46" t="s">
        <v>16</v>
      </c>
      <c r="C902" s="46" t="s">
        <v>13</v>
      </c>
      <c r="D902" s="46" t="s">
        <v>22</v>
      </c>
      <c r="E902" s="47">
        <v>14.48</v>
      </c>
      <c r="F902" s="48">
        <v>4</v>
      </c>
      <c r="G902" s="78">
        <f t="shared" si="14"/>
        <v>57.92</v>
      </c>
      <c r="H902" s="120">
        <v>43618</v>
      </c>
      <c r="I902" s="50">
        <v>0.75486111111111109</v>
      </c>
      <c r="J902" s="46" t="s">
        <v>17</v>
      </c>
      <c r="K902" s="51">
        <v>4.5</v>
      </c>
      <c r="L902" s="122" t="str">
        <f>IF(AND(Tabla_Ventas[[#This Row],[VENTA TOTAL]]&gt;=30,Tabla_Ventas[[#This Row],[TIPO DE CLIENTE/ Customer type]]="Member"),"PARTICIPA","NO PARTICIPA")</f>
        <v>PARTICIPA</v>
      </c>
    </row>
    <row r="903" spans="1:12" ht="19" x14ac:dyDescent="0.25">
      <c r="A903" s="45">
        <v>299461805</v>
      </c>
      <c r="B903" s="46" t="s">
        <v>16</v>
      </c>
      <c r="C903" s="46" t="s">
        <v>13</v>
      </c>
      <c r="D903" s="46" t="s">
        <v>14</v>
      </c>
      <c r="E903" s="47">
        <v>93.72</v>
      </c>
      <c r="F903" s="48">
        <v>6</v>
      </c>
      <c r="G903" s="78">
        <f t="shared" si="14"/>
        <v>562.31999999999994</v>
      </c>
      <c r="H903" s="120">
        <v>43480</v>
      </c>
      <c r="I903" s="50">
        <v>0.67986111111111114</v>
      </c>
      <c r="J903" s="46" t="s">
        <v>23</v>
      </c>
      <c r="K903" s="51">
        <v>4.5</v>
      </c>
      <c r="L903" s="122" t="str">
        <f>IF(AND(Tabla_Ventas[[#This Row],[VENTA TOTAL]]&gt;=30,Tabla_Ventas[[#This Row],[TIPO DE CLIENTE/ Customer type]]="Member"),"PARTICIPA","NO PARTICIPA")</f>
        <v>PARTICIPA</v>
      </c>
    </row>
    <row r="904" spans="1:12" ht="19" x14ac:dyDescent="0.25">
      <c r="A904" s="45">
        <v>149716266</v>
      </c>
      <c r="B904" s="46" t="s">
        <v>16</v>
      </c>
      <c r="C904" s="46" t="s">
        <v>13</v>
      </c>
      <c r="D904" s="46" t="s">
        <v>14</v>
      </c>
      <c r="E904" s="47">
        <v>78.069999999999993</v>
      </c>
      <c r="F904" s="48">
        <v>9</v>
      </c>
      <c r="G904" s="78">
        <f t="shared" si="14"/>
        <v>702.62999999999988</v>
      </c>
      <c r="H904" s="120">
        <v>43493</v>
      </c>
      <c r="I904" s="50">
        <v>0.52986111111111112</v>
      </c>
      <c r="J904" s="46" t="s">
        <v>23</v>
      </c>
      <c r="K904" s="51">
        <v>4.5</v>
      </c>
      <c r="L904" s="122" t="str">
        <f>IF(AND(Tabla_Ventas[[#This Row],[VENTA TOTAL]]&gt;=30,Tabla_Ventas[[#This Row],[TIPO DE CLIENTE/ Customer type]]="Member"),"PARTICIPA","NO PARTICIPA")</f>
        <v>PARTICIPA</v>
      </c>
    </row>
    <row r="905" spans="1:12" ht="19" x14ac:dyDescent="0.25">
      <c r="A905" s="45">
        <v>668908900</v>
      </c>
      <c r="B905" s="46" t="s">
        <v>19</v>
      </c>
      <c r="C905" s="46" t="s">
        <v>18</v>
      </c>
      <c r="D905" s="46" t="s">
        <v>25</v>
      </c>
      <c r="E905" s="47">
        <v>93.69</v>
      </c>
      <c r="F905" s="48">
        <v>7</v>
      </c>
      <c r="G905" s="78">
        <f t="shared" si="14"/>
        <v>655.82999999999993</v>
      </c>
      <c r="H905" s="120">
        <v>43534</v>
      </c>
      <c r="I905" s="50">
        <v>0.78055555555555556</v>
      </c>
      <c r="J905" s="46" t="s">
        <v>15</v>
      </c>
      <c r="K905" s="51">
        <v>4.5</v>
      </c>
      <c r="L905" s="122" t="str">
        <f>IF(AND(Tabla_Ventas[[#This Row],[VENTA TOTAL]]&gt;=30,Tabla_Ventas[[#This Row],[TIPO DE CLIENTE/ Customer type]]="Member"),"PARTICIPA","NO PARTICIPA")</f>
        <v>NO PARTICIPA</v>
      </c>
    </row>
    <row r="906" spans="1:12" ht="19" x14ac:dyDescent="0.25">
      <c r="A906" s="45">
        <v>307839164</v>
      </c>
      <c r="B906" s="46" t="s">
        <v>19</v>
      </c>
      <c r="C906" s="46" t="s">
        <v>13</v>
      </c>
      <c r="D906" s="46" t="s">
        <v>25</v>
      </c>
      <c r="E906" s="47">
        <v>60.01</v>
      </c>
      <c r="F906" s="48">
        <v>4</v>
      </c>
      <c r="G906" s="78">
        <f t="shared" si="14"/>
        <v>240.04</v>
      </c>
      <c r="H906" s="120">
        <v>43490</v>
      </c>
      <c r="I906" s="50">
        <v>0.66249999999999998</v>
      </c>
      <c r="J906" s="46" t="s">
        <v>23</v>
      </c>
      <c r="K906" s="51">
        <v>4.5</v>
      </c>
      <c r="L906" s="122" t="str">
        <f>IF(AND(Tabla_Ventas[[#This Row],[VENTA TOTAL]]&gt;=30,Tabla_Ventas[[#This Row],[TIPO DE CLIENTE/ Customer type]]="Member"),"PARTICIPA","NO PARTICIPA")</f>
        <v>PARTICIPA</v>
      </c>
    </row>
    <row r="907" spans="1:12" ht="19" x14ac:dyDescent="0.25">
      <c r="A907" s="45">
        <v>710464433</v>
      </c>
      <c r="B907" s="46" t="s">
        <v>16</v>
      </c>
      <c r="C907" s="46" t="s">
        <v>13</v>
      </c>
      <c r="D907" s="46" t="s">
        <v>24</v>
      </c>
      <c r="E907" s="47">
        <v>77.400000000000006</v>
      </c>
      <c r="F907" s="48">
        <v>9</v>
      </c>
      <c r="G907" s="78">
        <f t="shared" si="14"/>
        <v>696.6</v>
      </c>
      <c r="H907" s="120">
        <v>43511</v>
      </c>
      <c r="I907" s="50">
        <v>0.59375</v>
      </c>
      <c r="J907" s="46" t="s">
        <v>15</v>
      </c>
      <c r="K907" s="51">
        <v>4.5</v>
      </c>
      <c r="L907" s="122" t="str">
        <f>IF(AND(Tabla_Ventas[[#This Row],[VENTA TOTAL]]&gt;=30,Tabla_Ventas[[#This Row],[TIPO DE CLIENTE/ Customer type]]="Member"),"PARTICIPA","NO PARTICIPA")</f>
        <v>PARTICIPA</v>
      </c>
    </row>
    <row r="908" spans="1:12" ht="19" x14ac:dyDescent="0.25">
      <c r="A908" s="45">
        <v>639761242</v>
      </c>
      <c r="B908" s="46" t="s">
        <v>12</v>
      </c>
      <c r="C908" s="46" t="s">
        <v>18</v>
      </c>
      <c r="D908" s="46" t="s">
        <v>24</v>
      </c>
      <c r="E908" s="47">
        <v>40.520000000000003</v>
      </c>
      <c r="F908" s="48">
        <v>5</v>
      </c>
      <c r="G908" s="78">
        <f t="shared" si="14"/>
        <v>202.60000000000002</v>
      </c>
      <c r="H908" s="120">
        <v>43499</v>
      </c>
      <c r="I908" s="50">
        <v>0.6381944444444444</v>
      </c>
      <c r="J908" s="46" t="s">
        <v>23</v>
      </c>
      <c r="K908" s="51">
        <v>4.5</v>
      </c>
      <c r="L908" s="122" t="str">
        <f>IF(AND(Tabla_Ventas[[#This Row],[VENTA TOTAL]]&gt;=30,Tabla_Ventas[[#This Row],[TIPO DE CLIENTE/ Customer type]]="Member"),"PARTICIPA","NO PARTICIPA")</f>
        <v>NO PARTICIPA</v>
      </c>
    </row>
    <row r="909" spans="1:12" ht="19" x14ac:dyDescent="0.25">
      <c r="A909" s="45">
        <v>554533790</v>
      </c>
      <c r="B909" s="46" t="s">
        <v>16</v>
      </c>
      <c r="C909" s="46" t="s">
        <v>18</v>
      </c>
      <c r="D909" s="46" t="s">
        <v>14</v>
      </c>
      <c r="E909" s="47">
        <v>37.020000000000003</v>
      </c>
      <c r="F909" s="48">
        <v>6</v>
      </c>
      <c r="G909" s="78">
        <f t="shared" si="14"/>
        <v>222.12</v>
      </c>
      <c r="H909" s="120">
        <v>43519</v>
      </c>
      <c r="I909" s="50">
        <v>0.7729166666666667</v>
      </c>
      <c r="J909" s="46" t="s">
        <v>23</v>
      </c>
      <c r="K909" s="51">
        <v>4.5</v>
      </c>
      <c r="L909" s="122" t="str">
        <f>IF(AND(Tabla_Ventas[[#This Row],[VENTA TOTAL]]&gt;=30,Tabla_Ventas[[#This Row],[TIPO DE CLIENTE/ Customer type]]="Member"),"PARTICIPA","NO PARTICIPA")</f>
        <v>NO PARTICIPA</v>
      </c>
    </row>
    <row r="910" spans="1:12" ht="19" x14ac:dyDescent="0.25">
      <c r="A910" s="45">
        <v>283265248</v>
      </c>
      <c r="B910" s="46" t="s">
        <v>12</v>
      </c>
      <c r="C910" s="46" t="s">
        <v>13</v>
      </c>
      <c r="D910" s="46" t="s">
        <v>24</v>
      </c>
      <c r="E910" s="47">
        <v>98.52</v>
      </c>
      <c r="F910" s="48">
        <v>10</v>
      </c>
      <c r="G910" s="78">
        <f t="shared" si="14"/>
        <v>985.19999999999993</v>
      </c>
      <c r="H910" s="120">
        <v>43495</v>
      </c>
      <c r="I910" s="50">
        <v>0.84930555555555554</v>
      </c>
      <c r="J910" s="46" t="s">
        <v>17</v>
      </c>
      <c r="K910" s="51">
        <v>4.5</v>
      </c>
      <c r="L910" s="122" t="str">
        <f>IF(AND(Tabla_Ventas[[#This Row],[VENTA TOTAL]]&gt;=30,Tabla_Ventas[[#This Row],[TIPO DE CLIENTE/ Customer type]]="Member"),"PARTICIPA","NO PARTICIPA")</f>
        <v>PARTICIPA</v>
      </c>
    </row>
    <row r="911" spans="1:12" ht="19" x14ac:dyDescent="0.25">
      <c r="A911" s="45">
        <v>881417302</v>
      </c>
      <c r="B911" s="46" t="s">
        <v>16</v>
      </c>
      <c r="C911" s="46" t="s">
        <v>18</v>
      </c>
      <c r="D911" s="46" t="s">
        <v>22</v>
      </c>
      <c r="E911" s="49">
        <v>64.989999999999995</v>
      </c>
      <c r="F911" s="48">
        <v>1</v>
      </c>
      <c r="G911" s="78">
        <f t="shared" si="14"/>
        <v>64.989999999999995</v>
      </c>
      <c r="H911" s="120">
        <v>43491</v>
      </c>
      <c r="I911" s="50">
        <v>0.42083333333333334</v>
      </c>
      <c r="J911" s="46" t="s">
        <v>15</v>
      </c>
      <c r="K911" s="51">
        <v>4.5</v>
      </c>
      <c r="L911" s="122" t="str">
        <f>IF(AND(Tabla_Ventas[[#This Row],[VENTA TOTAL]]&gt;=30,Tabla_Ventas[[#This Row],[TIPO DE CLIENTE/ Customer type]]="Member"),"PARTICIPA","NO PARTICIPA")</f>
        <v>NO PARTICIPA</v>
      </c>
    </row>
    <row r="912" spans="1:12" ht="19" x14ac:dyDescent="0.25">
      <c r="A912" s="45">
        <v>484228230</v>
      </c>
      <c r="B912" s="46" t="s">
        <v>16</v>
      </c>
      <c r="C912" s="46" t="s">
        <v>13</v>
      </c>
      <c r="D912" s="46" t="s">
        <v>22</v>
      </c>
      <c r="E912" s="49">
        <v>51.89</v>
      </c>
      <c r="F912" s="48">
        <v>7</v>
      </c>
      <c r="G912" s="78">
        <f t="shared" si="14"/>
        <v>363.23</v>
      </c>
      <c r="H912" s="120">
        <v>43473</v>
      </c>
      <c r="I912" s="50">
        <v>0.83888888888888891</v>
      </c>
      <c r="J912" s="46" t="s">
        <v>23</v>
      </c>
      <c r="K912" s="51">
        <v>4.5</v>
      </c>
      <c r="L912" s="122" t="str">
        <f>IF(AND(Tabla_Ventas[[#This Row],[VENTA TOTAL]]&gt;=30,Tabla_Ventas[[#This Row],[TIPO DE CLIENTE/ Customer type]]="Member"),"PARTICIPA","NO PARTICIPA")</f>
        <v>PARTICIPA</v>
      </c>
    </row>
    <row r="913" spans="1:12" ht="19" x14ac:dyDescent="0.25">
      <c r="A913" s="45">
        <v>857163520</v>
      </c>
      <c r="B913" s="46" t="s">
        <v>19</v>
      </c>
      <c r="C913" s="46" t="s">
        <v>13</v>
      </c>
      <c r="D913" s="46" t="s">
        <v>22</v>
      </c>
      <c r="E913" s="49">
        <v>71.459999999999994</v>
      </c>
      <c r="F913" s="48">
        <v>7</v>
      </c>
      <c r="G913" s="78">
        <f t="shared" si="14"/>
        <v>500.21999999999997</v>
      </c>
      <c r="H913" s="120">
        <v>43552</v>
      </c>
      <c r="I913" s="50">
        <v>0.67083333333333339</v>
      </c>
      <c r="J913" s="46" t="s">
        <v>17</v>
      </c>
      <c r="K913" s="51">
        <v>4.5</v>
      </c>
      <c r="L913" s="122" t="str">
        <f>IF(AND(Tabla_Ventas[[#This Row],[VENTA TOTAL]]&gt;=30,Tabla_Ventas[[#This Row],[TIPO DE CLIENTE/ Customer type]]="Member"),"PARTICIPA","NO PARTICIPA")</f>
        <v>PARTICIPA</v>
      </c>
    </row>
    <row r="914" spans="1:12" ht="19" x14ac:dyDescent="0.25">
      <c r="A914" s="45">
        <v>406467107</v>
      </c>
      <c r="B914" s="46" t="s">
        <v>19</v>
      </c>
      <c r="C914" s="46" t="s">
        <v>18</v>
      </c>
      <c r="D914" s="46" t="s">
        <v>25</v>
      </c>
      <c r="E914" s="49">
        <v>96.52</v>
      </c>
      <c r="F914" s="48">
        <v>6</v>
      </c>
      <c r="G914" s="78">
        <f t="shared" si="14"/>
        <v>579.12</v>
      </c>
      <c r="H914" s="120">
        <v>43476</v>
      </c>
      <c r="I914" s="50">
        <v>0.49444444444444446</v>
      </c>
      <c r="J914" s="46" t="s">
        <v>23</v>
      </c>
      <c r="K914" s="51">
        <v>4.5</v>
      </c>
      <c r="L914" s="122" t="str">
        <f>IF(AND(Tabla_Ventas[[#This Row],[VENTA TOTAL]]&gt;=30,Tabla_Ventas[[#This Row],[TIPO DE CLIENTE/ Customer type]]="Member"),"PARTICIPA","NO PARTICIPA")</f>
        <v>NO PARTICIPA</v>
      </c>
    </row>
    <row r="915" spans="1:12" ht="19" x14ac:dyDescent="0.25">
      <c r="A915" s="45">
        <v>707327409</v>
      </c>
      <c r="B915" s="46" t="s">
        <v>12</v>
      </c>
      <c r="C915" s="46" t="s">
        <v>13</v>
      </c>
      <c r="D915" s="46" t="s">
        <v>14</v>
      </c>
      <c r="E915" s="49">
        <v>95.54</v>
      </c>
      <c r="F915" s="48">
        <v>4</v>
      </c>
      <c r="G915" s="78">
        <f t="shared" si="14"/>
        <v>382.16</v>
      </c>
      <c r="H915" s="120">
        <v>43522</v>
      </c>
      <c r="I915" s="50">
        <v>0.49861111111111112</v>
      </c>
      <c r="J915" s="46" t="s">
        <v>17</v>
      </c>
      <c r="K915" s="51">
        <v>4.5</v>
      </c>
      <c r="L915" s="122" t="str">
        <f>IF(AND(Tabla_Ventas[[#This Row],[VENTA TOTAL]]&gt;=30,Tabla_Ventas[[#This Row],[TIPO DE CLIENTE/ Customer type]]="Member"),"PARTICIPA","NO PARTICIPA")</f>
        <v>PARTICIPA</v>
      </c>
    </row>
    <row r="916" spans="1:12" ht="19" x14ac:dyDescent="0.25">
      <c r="A916" s="45">
        <v>109864363</v>
      </c>
      <c r="B916" s="46" t="s">
        <v>12</v>
      </c>
      <c r="C916" s="46" t="s">
        <v>13</v>
      </c>
      <c r="D916" s="46" t="s">
        <v>14</v>
      </c>
      <c r="E916" s="49">
        <v>60.08</v>
      </c>
      <c r="F916" s="48">
        <v>7</v>
      </c>
      <c r="G916" s="78">
        <f t="shared" si="14"/>
        <v>420.56</v>
      </c>
      <c r="H916" s="120">
        <v>43510</v>
      </c>
      <c r="I916" s="50">
        <v>0.48333333333333334</v>
      </c>
      <c r="J916" s="46" t="s">
        <v>15</v>
      </c>
      <c r="K916" s="51">
        <v>4.5</v>
      </c>
      <c r="L916" s="122" t="str">
        <f>IF(AND(Tabla_Ventas[[#This Row],[VENTA TOTAL]]&gt;=30,Tabla_Ventas[[#This Row],[TIPO DE CLIENTE/ Customer type]]="Member"),"PARTICIPA","NO PARTICIPA")</f>
        <v>PARTICIPA</v>
      </c>
    </row>
    <row r="917" spans="1:12" ht="19" x14ac:dyDescent="0.25">
      <c r="A917" s="45">
        <v>448613783</v>
      </c>
      <c r="B917" s="46" t="s">
        <v>19</v>
      </c>
      <c r="C917" s="46" t="s">
        <v>18</v>
      </c>
      <c r="D917" s="46" t="s">
        <v>21</v>
      </c>
      <c r="E917" s="49">
        <v>90.02</v>
      </c>
      <c r="F917" s="48">
        <v>8</v>
      </c>
      <c r="G917" s="78">
        <f t="shared" si="14"/>
        <v>720.16</v>
      </c>
      <c r="H917" s="120">
        <v>43488</v>
      </c>
      <c r="I917" s="50">
        <v>0.67222222222222217</v>
      </c>
      <c r="J917" s="46" t="s">
        <v>15</v>
      </c>
      <c r="K917" s="51">
        <v>4.5</v>
      </c>
      <c r="L917" s="122" t="str">
        <f>IF(AND(Tabla_Ventas[[#This Row],[VENTA TOTAL]]&gt;=30,Tabla_Ventas[[#This Row],[TIPO DE CLIENTE/ Customer type]]="Member"),"PARTICIPA","NO PARTICIPA")</f>
        <v>NO PARTICIPA</v>
      </c>
    </row>
    <row r="918" spans="1:12" ht="19" x14ac:dyDescent="0.25">
      <c r="A918" s="45">
        <v>886182897</v>
      </c>
      <c r="B918" s="46" t="s">
        <v>19</v>
      </c>
      <c r="C918" s="46" t="s">
        <v>18</v>
      </c>
      <c r="D918" s="46" t="s">
        <v>24</v>
      </c>
      <c r="E918" s="49">
        <v>56.56</v>
      </c>
      <c r="F918" s="48">
        <v>5</v>
      </c>
      <c r="G918" s="78">
        <f t="shared" si="14"/>
        <v>282.8</v>
      </c>
      <c r="H918" s="120">
        <v>43519</v>
      </c>
      <c r="I918" s="50">
        <v>0.79583333333333339</v>
      </c>
      <c r="J918" s="46" t="s">
        <v>15</v>
      </c>
      <c r="K918" s="51">
        <v>4.5</v>
      </c>
      <c r="L918" s="122" t="str">
        <f>IF(AND(Tabla_Ventas[[#This Row],[VENTA TOTAL]]&gt;=30,Tabla_Ventas[[#This Row],[TIPO DE CLIENTE/ Customer type]]="Member"),"PARTICIPA","NO PARTICIPA")</f>
        <v>NO PARTICIPA</v>
      </c>
    </row>
    <row r="919" spans="1:12" ht="19" x14ac:dyDescent="0.25">
      <c r="A919" s="45">
        <v>319503348</v>
      </c>
      <c r="B919" s="46" t="s">
        <v>16</v>
      </c>
      <c r="C919" s="46" t="s">
        <v>18</v>
      </c>
      <c r="D919" s="46" t="s">
        <v>25</v>
      </c>
      <c r="E919" s="47">
        <v>40.299999999999997</v>
      </c>
      <c r="F919" s="48">
        <v>2</v>
      </c>
      <c r="G919" s="78">
        <f t="shared" si="14"/>
        <v>80.599999999999994</v>
      </c>
      <c r="H919" s="120">
        <v>43478</v>
      </c>
      <c r="I919" s="50">
        <v>0.64583333333333337</v>
      </c>
      <c r="J919" s="46" t="s">
        <v>17</v>
      </c>
      <c r="K919" s="51">
        <v>4.4000000000000004</v>
      </c>
      <c r="L919" s="122" t="str">
        <f>IF(AND(Tabla_Ventas[[#This Row],[VENTA TOTAL]]&gt;=30,Tabla_Ventas[[#This Row],[TIPO DE CLIENTE/ Customer type]]="Member"),"PARTICIPA","NO PARTICIPA")</f>
        <v>NO PARTICIPA</v>
      </c>
    </row>
    <row r="920" spans="1:12" ht="19" x14ac:dyDescent="0.25">
      <c r="A920" s="45">
        <v>273166619</v>
      </c>
      <c r="B920" s="46" t="s">
        <v>16</v>
      </c>
      <c r="C920" s="46" t="s">
        <v>18</v>
      </c>
      <c r="D920" s="46" t="s">
        <v>25</v>
      </c>
      <c r="E920" s="47">
        <v>33.200000000000003</v>
      </c>
      <c r="F920" s="48">
        <v>2</v>
      </c>
      <c r="G920" s="78">
        <f t="shared" si="14"/>
        <v>66.400000000000006</v>
      </c>
      <c r="H920" s="120">
        <v>43539</v>
      </c>
      <c r="I920" s="50">
        <v>0.51388888888888895</v>
      </c>
      <c r="J920" s="46" t="s">
        <v>15</v>
      </c>
      <c r="K920" s="51">
        <v>4.4000000000000004</v>
      </c>
      <c r="L920" s="122" t="str">
        <f>IF(AND(Tabla_Ventas[[#This Row],[VENTA TOTAL]]&gt;=30,Tabla_Ventas[[#This Row],[TIPO DE CLIENTE/ Customer type]]="Member"),"PARTICIPA","NO PARTICIPA")</f>
        <v>NO PARTICIPA</v>
      </c>
    </row>
    <row r="921" spans="1:12" ht="19" x14ac:dyDescent="0.25">
      <c r="A921" s="45">
        <v>407638975</v>
      </c>
      <c r="B921" s="46" t="s">
        <v>19</v>
      </c>
      <c r="C921" s="46" t="s">
        <v>18</v>
      </c>
      <c r="D921" s="46" t="s">
        <v>24</v>
      </c>
      <c r="E921" s="47">
        <v>73.88</v>
      </c>
      <c r="F921" s="48">
        <v>6</v>
      </c>
      <c r="G921" s="78">
        <f t="shared" si="14"/>
        <v>443.28</v>
      </c>
      <c r="H921" s="120">
        <v>43547</v>
      </c>
      <c r="I921" s="50">
        <v>0.8027777777777777</v>
      </c>
      <c r="J921" s="46" t="s">
        <v>17</v>
      </c>
      <c r="K921" s="51">
        <v>4.4000000000000004</v>
      </c>
      <c r="L921" s="122" t="str">
        <f>IF(AND(Tabla_Ventas[[#This Row],[VENTA TOTAL]]&gt;=30,Tabla_Ventas[[#This Row],[TIPO DE CLIENTE/ Customer type]]="Member"),"PARTICIPA","NO PARTICIPA")</f>
        <v>NO PARTICIPA</v>
      </c>
    </row>
    <row r="922" spans="1:12" ht="19" x14ac:dyDescent="0.25">
      <c r="A922" s="45">
        <v>656161063</v>
      </c>
      <c r="B922" s="46" t="s">
        <v>16</v>
      </c>
      <c r="C922" s="46" t="s">
        <v>18</v>
      </c>
      <c r="D922" s="46" t="s">
        <v>14</v>
      </c>
      <c r="E922" s="47">
        <v>46.42</v>
      </c>
      <c r="F922" s="48">
        <v>3</v>
      </c>
      <c r="G922" s="78">
        <f t="shared" si="14"/>
        <v>139.26</v>
      </c>
      <c r="H922" s="120">
        <v>43556</v>
      </c>
      <c r="I922" s="50">
        <v>0.55833333333333335</v>
      </c>
      <c r="J922" s="46" t="s">
        <v>15</v>
      </c>
      <c r="K922" s="51">
        <v>4.4000000000000004</v>
      </c>
      <c r="L922" s="122" t="str">
        <f>IF(AND(Tabla_Ventas[[#This Row],[VENTA TOTAL]]&gt;=30,Tabla_Ventas[[#This Row],[TIPO DE CLIENTE/ Customer type]]="Member"),"PARTICIPA","NO PARTICIPA")</f>
        <v>NO PARTICIPA</v>
      </c>
    </row>
    <row r="923" spans="1:12" ht="19" x14ac:dyDescent="0.25">
      <c r="A923" s="45">
        <v>144516085</v>
      </c>
      <c r="B923" s="46" t="s">
        <v>19</v>
      </c>
      <c r="C923" s="46" t="s">
        <v>13</v>
      </c>
      <c r="D923" s="46" t="s">
        <v>25</v>
      </c>
      <c r="E923" s="47">
        <v>70.739999999999995</v>
      </c>
      <c r="F923" s="48">
        <v>4</v>
      </c>
      <c r="G923" s="78">
        <f t="shared" si="14"/>
        <v>282.95999999999998</v>
      </c>
      <c r="H923" s="120">
        <v>43586</v>
      </c>
      <c r="I923" s="50">
        <v>0.67013888888888884</v>
      </c>
      <c r="J923" s="46" t="s">
        <v>15</v>
      </c>
      <c r="K923" s="51">
        <v>4.4000000000000004</v>
      </c>
      <c r="L923" s="122" t="str">
        <f>IF(AND(Tabla_Ventas[[#This Row],[VENTA TOTAL]]&gt;=30,Tabla_Ventas[[#This Row],[TIPO DE CLIENTE/ Customer type]]="Member"),"PARTICIPA","NO PARTICIPA")</f>
        <v>PARTICIPA</v>
      </c>
    </row>
    <row r="924" spans="1:12" ht="19" x14ac:dyDescent="0.25">
      <c r="A924" s="45">
        <v>735064124</v>
      </c>
      <c r="B924" s="46" t="s">
        <v>12</v>
      </c>
      <c r="C924" s="46" t="s">
        <v>18</v>
      </c>
      <c r="D924" s="46" t="s">
        <v>24</v>
      </c>
      <c r="E924" s="47">
        <v>48.61</v>
      </c>
      <c r="F924" s="48">
        <v>1</v>
      </c>
      <c r="G924" s="78">
        <f t="shared" si="14"/>
        <v>48.61</v>
      </c>
      <c r="H924" s="120">
        <v>43521</v>
      </c>
      <c r="I924" s="50">
        <v>0.64652777777777781</v>
      </c>
      <c r="J924" s="46" t="s">
        <v>23</v>
      </c>
      <c r="K924" s="51">
        <v>4.4000000000000004</v>
      </c>
      <c r="L924" s="122" t="str">
        <f>IF(AND(Tabla_Ventas[[#This Row],[VENTA TOTAL]]&gt;=30,Tabla_Ventas[[#This Row],[TIPO DE CLIENTE/ Customer type]]="Member"),"PARTICIPA","NO PARTICIPA")</f>
        <v>NO PARTICIPA</v>
      </c>
    </row>
    <row r="925" spans="1:12" ht="19" x14ac:dyDescent="0.25">
      <c r="A925" s="45">
        <v>870761733</v>
      </c>
      <c r="B925" s="46" t="s">
        <v>19</v>
      </c>
      <c r="C925" s="46" t="s">
        <v>13</v>
      </c>
      <c r="D925" s="46" t="s">
        <v>24</v>
      </c>
      <c r="E925" s="47">
        <v>14.23</v>
      </c>
      <c r="F925" s="48">
        <v>5</v>
      </c>
      <c r="G925" s="78">
        <f t="shared" si="14"/>
        <v>71.150000000000006</v>
      </c>
      <c r="H925" s="120">
        <v>43467</v>
      </c>
      <c r="I925" s="50">
        <v>0.42222222222222222</v>
      </c>
      <c r="J925" s="46" t="s">
        <v>15</v>
      </c>
      <c r="K925" s="51">
        <v>4.4000000000000004</v>
      </c>
      <c r="L925" s="122" t="str">
        <f>IF(AND(Tabla_Ventas[[#This Row],[VENTA TOTAL]]&gt;=30,Tabla_Ventas[[#This Row],[TIPO DE CLIENTE/ Customer type]]="Member"),"PARTICIPA","NO PARTICIPA")</f>
        <v>PARTICIPA</v>
      </c>
    </row>
    <row r="926" spans="1:12" ht="19" x14ac:dyDescent="0.25">
      <c r="A926" s="45">
        <v>227074446</v>
      </c>
      <c r="B926" s="46" t="s">
        <v>12</v>
      </c>
      <c r="C926" s="46" t="s">
        <v>13</v>
      </c>
      <c r="D926" s="46" t="s">
        <v>21</v>
      </c>
      <c r="E926" s="47">
        <v>78.13</v>
      </c>
      <c r="F926" s="48">
        <v>10</v>
      </c>
      <c r="G926" s="78">
        <f t="shared" si="14"/>
        <v>781.3</v>
      </c>
      <c r="H926" s="120">
        <v>43506</v>
      </c>
      <c r="I926" s="50">
        <v>0.86875000000000002</v>
      </c>
      <c r="J926" s="46" t="s">
        <v>23</v>
      </c>
      <c r="K926" s="51">
        <v>4.4000000000000004</v>
      </c>
      <c r="L926" s="122" t="str">
        <f>IF(AND(Tabla_Ventas[[#This Row],[VENTA TOTAL]]&gt;=30,Tabla_Ventas[[#This Row],[TIPO DE CLIENTE/ Customer type]]="Member"),"PARTICIPA","NO PARTICIPA")</f>
        <v>PARTICIPA</v>
      </c>
    </row>
    <row r="927" spans="1:12" ht="19" x14ac:dyDescent="0.25">
      <c r="A927" s="45">
        <v>598479715</v>
      </c>
      <c r="B927" s="46" t="s">
        <v>12</v>
      </c>
      <c r="C927" s="46" t="s">
        <v>18</v>
      </c>
      <c r="D927" s="46" t="s">
        <v>21</v>
      </c>
      <c r="E927" s="47">
        <v>84.07</v>
      </c>
      <c r="F927" s="48">
        <v>4</v>
      </c>
      <c r="G927" s="78">
        <f t="shared" si="14"/>
        <v>336.28</v>
      </c>
      <c r="H927" s="120">
        <v>43531</v>
      </c>
      <c r="I927" s="50">
        <v>0.70416666666666661</v>
      </c>
      <c r="J927" s="46" t="s">
        <v>17</v>
      </c>
      <c r="K927" s="51">
        <v>4.4000000000000004</v>
      </c>
      <c r="L927" s="122" t="str">
        <f>IF(AND(Tabla_Ventas[[#This Row],[VENTA TOTAL]]&gt;=30,Tabla_Ventas[[#This Row],[TIPO DE CLIENTE/ Customer type]]="Member"),"PARTICIPA","NO PARTICIPA")</f>
        <v>NO PARTICIPA</v>
      </c>
    </row>
    <row r="928" spans="1:12" ht="19" x14ac:dyDescent="0.25">
      <c r="A928" s="45">
        <v>866997614</v>
      </c>
      <c r="B928" s="46" t="s">
        <v>12</v>
      </c>
      <c r="C928" s="46" t="s">
        <v>18</v>
      </c>
      <c r="D928" s="46" t="s">
        <v>24</v>
      </c>
      <c r="E928" s="47">
        <v>89.2</v>
      </c>
      <c r="F928" s="48">
        <v>10</v>
      </c>
      <c r="G928" s="78">
        <f t="shared" si="14"/>
        <v>892</v>
      </c>
      <c r="H928" s="120">
        <v>43771</v>
      </c>
      <c r="I928" s="50">
        <v>0.65416666666666667</v>
      </c>
      <c r="J928" s="46" t="s">
        <v>15</v>
      </c>
      <c r="K928" s="51">
        <v>4.4000000000000004</v>
      </c>
      <c r="L928" s="122" t="str">
        <f>IF(AND(Tabla_Ventas[[#This Row],[VENTA TOTAL]]&gt;=30,Tabla_Ventas[[#This Row],[TIPO DE CLIENTE/ Customer type]]="Member"),"PARTICIPA","NO PARTICIPA")</f>
        <v>NO PARTICIPA</v>
      </c>
    </row>
    <row r="929" spans="1:12" ht="19" x14ac:dyDescent="0.25">
      <c r="A929" s="45">
        <v>227503718</v>
      </c>
      <c r="B929" s="46" t="s">
        <v>19</v>
      </c>
      <c r="C929" s="46" t="s">
        <v>18</v>
      </c>
      <c r="D929" s="46" t="s">
        <v>20</v>
      </c>
      <c r="E929" s="47">
        <v>14.62</v>
      </c>
      <c r="F929" s="48">
        <v>5</v>
      </c>
      <c r="G929" s="78">
        <f t="shared" si="14"/>
        <v>73.099999999999994</v>
      </c>
      <c r="H929" s="120">
        <v>43558</v>
      </c>
      <c r="I929" s="50">
        <v>0.51597222222222217</v>
      </c>
      <c r="J929" s="46" t="s">
        <v>23</v>
      </c>
      <c r="K929" s="51">
        <v>4.4000000000000004</v>
      </c>
      <c r="L929" s="122" t="str">
        <f>IF(AND(Tabla_Ventas[[#This Row],[VENTA TOTAL]]&gt;=30,Tabla_Ventas[[#This Row],[TIPO DE CLIENTE/ Customer type]]="Member"),"PARTICIPA","NO PARTICIPA")</f>
        <v>NO PARTICIPA</v>
      </c>
    </row>
    <row r="930" spans="1:12" ht="19" x14ac:dyDescent="0.25">
      <c r="A930" s="45">
        <v>840192096</v>
      </c>
      <c r="B930" s="46" t="s">
        <v>16</v>
      </c>
      <c r="C930" s="46" t="s">
        <v>13</v>
      </c>
      <c r="D930" s="46" t="s">
        <v>21</v>
      </c>
      <c r="E930" s="49">
        <v>87.91</v>
      </c>
      <c r="F930" s="48">
        <v>5</v>
      </c>
      <c r="G930" s="78">
        <f t="shared" si="14"/>
        <v>439.54999999999995</v>
      </c>
      <c r="H930" s="120">
        <v>43538</v>
      </c>
      <c r="I930" s="50">
        <v>0.75694444444444453</v>
      </c>
      <c r="J930" s="46" t="s">
        <v>17</v>
      </c>
      <c r="K930" s="51">
        <v>4.4000000000000004</v>
      </c>
      <c r="L930" s="122" t="str">
        <f>IF(AND(Tabla_Ventas[[#This Row],[VENTA TOTAL]]&gt;=30,Tabla_Ventas[[#This Row],[TIPO DE CLIENTE/ Customer type]]="Member"),"PARTICIPA","NO PARTICIPA")</f>
        <v>PARTICIPA</v>
      </c>
    </row>
    <row r="931" spans="1:12" ht="19" x14ac:dyDescent="0.25">
      <c r="A931" s="45">
        <v>852627105</v>
      </c>
      <c r="B931" s="46" t="s">
        <v>12</v>
      </c>
      <c r="C931" s="46" t="s">
        <v>18</v>
      </c>
      <c r="D931" s="46" t="s">
        <v>22</v>
      </c>
      <c r="E931" s="49">
        <v>83.25</v>
      </c>
      <c r="F931" s="48">
        <v>10</v>
      </c>
      <c r="G931" s="78">
        <f t="shared" si="14"/>
        <v>832.5</v>
      </c>
      <c r="H931" s="120">
        <v>43477</v>
      </c>
      <c r="I931" s="50">
        <v>0.47569444444444442</v>
      </c>
      <c r="J931" s="46" t="s">
        <v>15</v>
      </c>
      <c r="K931" s="51">
        <v>4.4000000000000004</v>
      </c>
      <c r="L931" s="122" t="str">
        <f>IF(AND(Tabla_Ventas[[#This Row],[VENTA TOTAL]]&gt;=30,Tabla_Ventas[[#This Row],[TIPO DE CLIENTE/ Customer type]]="Member"),"PARTICIPA","NO PARTICIPA")</f>
        <v>NO PARTICIPA</v>
      </c>
    </row>
    <row r="932" spans="1:12" ht="19" x14ac:dyDescent="0.25">
      <c r="A932" s="45">
        <v>408666712</v>
      </c>
      <c r="B932" s="46" t="s">
        <v>16</v>
      </c>
      <c r="C932" s="46" t="s">
        <v>13</v>
      </c>
      <c r="D932" s="46" t="s">
        <v>20</v>
      </c>
      <c r="E932" s="49">
        <v>47.71</v>
      </c>
      <c r="F932" s="48">
        <v>6</v>
      </c>
      <c r="G932" s="78">
        <f t="shared" si="14"/>
        <v>286.26</v>
      </c>
      <c r="H932" s="120">
        <v>43512</v>
      </c>
      <c r="I932" s="50">
        <v>0.59652777777777777</v>
      </c>
      <c r="J932" s="46" t="s">
        <v>17</v>
      </c>
      <c r="K932" s="51">
        <v>4.4000000000000004</v>
      </c>
      <c r="L932" s="122" t="str">
        <f>IF(AND(Tabla_Ventas[[#This Row],[VENTA TOTAL]]&gt;=30,Tabla_Ventas[[#This Row],[TIPO DE CLIENTE/ Customer type]]="Member"),"PARTICIPA","NO PARTICIPA")</f>
        <v>PARTICIPA</v>
      </c>
    </row>
    <row r="933" spans="1:12" ht="19" x14ac:dyDescent="0.25">
      <c r="A933" s="45">
        <v>588478641</v>
      </c>
      <c r="B933" s="46" t="s">
        <v>19</v>
      </c>
      <c r="C933" s="46" t="s">
        <v>13</v>
      </c>
      <c r="D933" s="46" t="s">
        <v>22</v>
      </c>
      <c r="E933" s="49">
        <v>56.04</v>
      </c>
      <c r="F933" s="48">
        <v>10</v>
      </c>
      <c r="G933" s="78">
        <f t="shared" si="14"/>
        <v>560.4</v>
      </c>
      <c r="H933" s="120">
        <v>43479</v>
      </c>
      <c r="I933" s="50">
        <v>0.8125</v>
      </c>
      <c r="J933" s="46" t="s">
        <v>17</v>
      </c>
      <c r="K933" s="51">
        <v>4.4000000000000004</v>
      </c>
      <c r="L933" s="122" t="str">
        <f>IF(AND(Tabla_Ventas[[#This Row],[VENTA TOTAL]]&gt;=30,Tabla_Ventas[[#This Row],[TIPO DE CLIENTE/ Customer type]]="Member"),"PARTICIPA","NO PARTICIPA")</f>
        <v>PARTICIPA</v>
      </c>
    </row>
    <row r="934" spans="1:12" ht="19" x14ac:dyDescent="0.25">
      <c r="A934" s="45">
        <v>247112470</v>
      </c>
      <c r="B934" s="46" t="s">
        <v>19</v>
      </c>
      <c r="C934" s="46" t="s">
        <v>13</v>
      </c>
      <c r="D934" s="46" t="s">
        <v>22</v>
      </c>
      <c r="E934" s="49">
        <v>22.32</v>
      </c>
      <c r="F934" s="48">
        <v>4</v>
      </c>
      <c r="G934" s="78">
        <f t="shared" si="14"/>
        <v>89.28</v>
      </c>
      <c r="H934" s="120">
        <v>43468</v>
      </c>
      <c r="I934" s="50">
        <v>0.68263888888888891</v>
      </c>
      <c r="J934" s="46" t="s">
        <v>15</v>
      </c>
      <c r="K934" s="51">
        <v>4.4000000000000004</v>
      </c>
      <c r="L934" s="122" t="str">
        <f>IF(AND(Tabla_Ventas[[#This Row],[VENTA TOTAL]]&gt;=30,Tabla_Ventas[[#This Row],[TIPO DE CLIENTE/ Customer type]]="Member"),"PARTICIPA","NO PARTICIPA")</f>
        <v>PARTICIPA</v>
      </c>
    </row>
    <row r="935" spans="1:12" ht="19" x14ac:dyDescent="0.25">
      <c r="A935" s="45">
        <v>303962227</v>
      </c>
      <c r="B935" s="46" t="s">
        <v>12</v>
      </c>
      <c r="C935" s="46" t="s">
        <v>18</v>
      </c>
      <c r="D935" s="46" t="s">
        <v>25</v>
      </c>
      <c r="E935" s="49">
        <v>97.38</v>
      </c>
      <c r="F935" s="48">
        <v>10</v>
      </c>
      <c r="G935" s="78">
        <f t="shared" si="14"/>
        <v>973.8</v>
      </c>
      <c r="H935" s="120">
        <v>43499</v>
      </c>
      <c r="I935" s="50">
        <v>0.71944444444444444</v>
      </c>
      <c r="J935" s="46" t="s">
        <v>17</v>
      </c>
      <c r="K935" s="51">
        <v>4.4000000000000004</v>
      </c>
      <c r="L935" s="122" t="str">
        <f>IF(AND(Tabla_Ventas[[#This Row],[VENTA TOTAL]]&gt;=30,Tabla_Ventas[[#This Row],[TIPO DE CLIENTE/ Customer type]]="Member"),"PARTICIPA","NO PARTICIPA")</f>
        <v>NO PARTICIPA</v>
      </c>
    </row>
    <row r="936" spans="1:12" ht="19" x14ac:dyDescent="0.25">
      <c r="A936" s="45">
        <v>382034532</v>
      </c>
      <c r="B936" s="46" t="s">
        <v>19</v>
      </c>
      <c r="C936" s="46" t="s">
        <v>13</v>
      </c>
      <c r="D936" s="46" t="s">
        <v>20</v>
      </c>
      <c r="E936" s="47">
        <v>18.329999999999998</v>
      </c>
      <c r="F936" s="48">
        <v>1</v>
      </c>
      <c r="G936" s="78">
        <f t="shared" si="14"/>
        <v>18.329999999999998</v>
      </c>
      <c r="H936" s="120">
        <v>43498</v>
      </c>
      <c r="I936" s="50">
        <v>0.78472222222222221</v>
      </c>
      <c r="J936" s="46" t="s">
        <v>23</v>
      </c>
      <c r="K936" s="51">
        <v>4.3</v>
      </c>
      <c r="L936" s="122" t="str">
        <f>IF(AND(Tabla_Ventas[[#This Row],[VENTA TOTAL]]&gt;=30,Tabla_Ventas[[#This Row],[TIPO DE CLIENTE/ Customer type]]="Member"),"PARTICIPA","NO PARTICIPA")</f>
        <v>NO PARTICIPA</v>
      </c>
    </row>
    <row r="937" spans="1:12" ht="19" x14ac:dyDescent="0.25">
      <c r="A937" s="45">
        <v>645441170</v>
      </c>
      <c r="B937" s="46" t="s">
        <v>19</v>
      </c>
      <c r="C937" s="46" t="s">
        <v>13</v>
      </c>
      <c r="D937" s="46" t="s">
        <v>25</v>
      </c>
      <c r="E937" s="47">
        <v>58.07</v>
      </c>
      <c r="F937" s="48">
        <v>9</v>
      </c>
      <c r="G937" s="78">
        <f t="shared" si="14"/>
        <v>522.63</v>
      </c>
      <c r="H937" s="120">
        <v>43484</v>
      </c>
      <c r="I937" s="50">
        <v>0.83819444444444446</v>
      </c>
      <c r="J937" s="46" t="s">
        <v>17</v>
      </c>
      <c r="K937" s="51">
        <v>4.3</v>
      </c>
      <c r="L937" s="122" t="str">
        <f>IF(AND(Tabla_Ventas[[#This Row],[VENTA TOTAL]]&gt;=30,Tabla_Ventas[[#This Row],[TIPO DE CLIENTE/ Customer type]]="Member"),"PARTICIPA","NO PARTICIPA")</f>
        <v>PARTICIPA</v>
      </c>
    </row>
    <row r="938" spans="1:12" ht="19" x14ac:dyDescent="0.25">
      <c r="A938" s="45">
        <v>346843103</v>
      </c>
      <c r="B938" s="46" t="s">
        <v>16</v>
      </c>
      <c r="C938" s="46" t="s">
        <v>13</v>
      </c>
      <c r="D938" s="46" t="s">
        <v>21</v>
      </c>
      <c r="E938" s="47">
        <v>13.22</v>
      </c>
      <c r="F938" s="48">
        <v>5</v>
      </c>
      <c r="G938" s="78">
        <f t="shared" si="14"/>
        <v>66.100000000000009</v>
      </c>
      <c r="H938" s="120">
        <v>43499</v>
      </c>
      <c r="I938" s="50">
        <v>0.80972222222222223</v>
      </c>
      <c r="J938" s="46" t="s">
        <v>23</v>
      </c>
      <c r="K938" s="51">
        <v>4.3</v>
      </c>
      <c r="L938" s="122" t="str">
        <f>IF(AND(Tabla_Ventas[[#This Row],[VENTA TOTAL]]&gt;=30,Tabla_Ventas[[#This Row],[TIPO DE CLIENTE/ Customer type]]="Member"),"PARTICIPA","NO PARTICIPA")</f>
        <v>PARTICIPA</v>
      </c>
    </row>
    <row r="939" spans="1:12" ht="19" x14ac:dyDescent="0.25">
      <c r="A939" s="45">
        <v>411770180</v>
      </c>
      <c r="B939" s="46" t="s">
        <v>19</v>
      </c>
      <c r="C939" s="46" t="s">
        <v>13</v>
      </c>
      <c r="D939" s="46" t="s">
        <v>21</v>
      </c>
      <c r="E939" s="47">
        <v>72.2</v>
      </c>
      <c r="F939" s="48">
        <v>7</v>
      </c>
      <c r="G939" s="78">
        <f t="shared" si="14"/>
        <v>505.40000000000003</v>
      </c>
      <c r="H939" s="120">
        <v>43550</v>
      </c>
      <c r="I939" s="50">
        <v>0.84305555555555556</v>
      </c>
      <c r="J939" s="46" t="s">
        <v>17</v>
      </c>
      <c r="K939" s="51">
        <v>4.3</v>
      </c>
      <c r="L939" s="122" t="str">
        <f>IF(AND(Tabla_Ventas[[#This Row],[VENTA TOTAL]]&gt;=30,Tabla_Ventas[[#This Row],[TIPO DE CLIENTE/ Customer type]]="Member"),"PARTICIPA","NO PARTICIPA")</f>
        <v>PARTICIPA</v>
      </c>
    </row>
    <row r="940" spans="1:12" ht="19" x14ac:dyDescent="0.25">
      <c r="A940" s="45">
        <v>726272396</v>
      </c>
      <c r="B940" s="46" t="s">
        <v>19</v>
      </c>
      <c r="C940" s="46" t="s">
        <v>18</v>
      </c>
      <c r="D940" s="46" t="s">
        <v>20</v>
      </c>
      <c r="E940" s="47">
        <v>77.5</v>
      </c>
      <c r="F940" s="48">
        <v>5</v>
      </c>
      <c r="G940" s="78">
        <f t="shared" si="14"/>
        <v>387.5</v>
      </c>
      <c r="H940" s="120">
        <v>43489</v>
      </c>
      <c r="I940" s="50">
        <v>0.85833333333333339</v>
      </c>
      <c r="J940" s="46" t="s">
        <v>17</v>
      </c>
      <c r="K940" s="51">
        <v>4.3</v>
      </c>
      <c r="L940" s="122" t="str">
        <f>IF(AND(Tabla_Ventas[[#This Row],[VENTA TOTAL]]&gt;=30,Tabla_Ventas[[#This Row],[TIPO DE CLIENTE/ Customer type]]="Member"),"PARTICIPA","NO PARTICIPA")</f>
        <v>NO PARTICIPA</v>
      </c>
    </row>
    <row r="941" spans="1:12" ht="19" x14ac:dyDescent="0.25">
      <c r="A941" s="45">
        <v>394303170</v>
      </c>
      <c r="B941" s="46" t="s">
        <v>16</v>
      </c>
      <c r="C941" s="46" t="s">
        <v>13</v>
      </c>
      <c r="D941" s="46" t="s">
        <v>14</v>
      </c>
      <c r="E941" s="47">
        <v>88.43</v>
      </c>
      <c r="F941" s="48">
        <v>8</v>
      </c>
      <c r="G941" s="78">
        <f t="shared" si="14"/>
        <v>707.44</v>
      </c>
      <c r="H941" s="120">
        <v>43519</v>
      </c>
      <c r="I941" s="50">
        <v>0.81597222222222221</v>
      </c>
      <c r="J941" s="46" t="s">
        <v>15</v>
      </c>
      <c r="K941" s="51">
        <v>4.3</v>
      </c>
      <c r="L941" s="122" t="str">
        <f>IF(AND(Tabla_Ventas[[#This Row],[VENTA TOTAL]]&gt;=30,Tabla_Ventas[[#This Row],[TIPO DE CLIENTE/ Customer type]]="Member"),"PARTICIPA","NO PARTICIPA")</f>
        <v>PARTICIPA</v>
      </c>
    </row>
    <row r="942" spans="1:12" ht="19" x14ac:dyDescent="0.25">
      <c r="A942" s="45">
        <v>556728512</v>
      </c>
      <c r="B942" s="46" t="s">
        <v>12</v>
      </c>
      <c r="C942" s="46" t="s">
        <v>18</v>
      </c>
      <c r="D942" s="46" t="s">
        <v>25</v>
      </c>
      <c r="E942" s="47">
        <v>22.96</v>
      </c>
      <c r="F942" s="48">
        <v>1</v>
      </c>
      <c r="G942" s="78">
        <f t="shared" si="14"/>
        <v>22.96</v>
      </c>
      <c r="H942" s="120">
        <v>43495</v>
      </c>
      <c r="I942" s="50">
        <v>0.86597222222222225</v>
      </c>
      <c r="J942" s="46" t="s">
        <v>23</v>
      </c>
      <c r="K942" s="51">
        <v>4.3</v>
      </c>
      <c r="L942" s="122" t="str">
        <f>IF(AND(Tabla_Ventas[[#This Row],[VENTA TOTAL]]&gt;=30,Tabla_Ventas[[#This Row],[TIPO DE CLIENTE/ Customer type]]="Member"),"PARTICIPA","NO PARTICIPA")</f>
        <v>NO PARTICIPA</v>
      </c>
    </row>
    <row r="943" spans="1:12" ht="19" x14ac:dyDescent="0.25">
      <c r="A943" s="45">
        <v>600389738</v>
      </c>
      <c r="B943" s="46" t="s">
        <v>12</v>
      </c>
      <c r="C943" s="46" t="s">
        <v>13</v>
      </c>
      <c r="D943" s="46" t="s">
        <v>14</v>
      </c>
      <c r="E943" s="47">
        <v>71.92</v>
      </c>
      <c r="F943" s="48">
        <v>5</v>
      </c>
      <c r="G943" s="78">
        <f t="shared" si="14"/>
        <v>359.6</v>
      </c>
      <c r="H943" s="120">
        <v>43482</v>
      </c>
      <c r="I943" s="50">
        <v>0.62847222222222221</v>
      </c>
      <c r="J943" s="46" t="s">
        <v>15</v>
      </c>
      <c r="K943" s="51">
        <v>4.3</v>
      </c>
      <c r="L943" s="122" t="str">
        <f>IF(AND(Tabla_Ventas[[#This Row],[VENTA TOTAL]]&gt;=30,Tabla_Ventas[[#This Row],[TIPO DE CLIENTE/ Customer type]]="Member"),"PARTICIPA","NO PARTICIPA")</f>
        <v>PARTICIPA</v>
      </c>
    </row>
    <row r="944" spans="1:12" ht="19" x14ac:dyDescent="0.25">
      <c r="A944" s="45">
        <v>302152162</v>
      </c>
      <c r="B944" s="46" t="s">
        <v>12</v>
      </c>
      <c r="C944" s="46" t="s">
        <v>13</v>
      </c>
      <c r="D944" s="46" t="s">
        <v>20</v>
      </c>
      <c r="E944" s="47">
        <v>46.53</v>
      </c>
      <c r="F944" s="48">
        <v>6</v>
      </c>
      <c r="G944" s="78">
        <f t="shared" si="14"/>
        <v>279.18</v>
      </c>
      <c r="H944" s="120">
        <v>43527</v>
      </c>
      <c r="I944" s="50">
        <v>0.45416666666666666</v>
      </c>
      <c r="J944" s="46" t="s">
        <v>15</v>
      </c>
      <c r="K944" s="51">
        <v>4.3</v>
      </c>
      <c r="L944" s="122" t="str">
        <f>IF(AND(Tabla_Ventas[[#This Row],[VENTA TOTAL]]&gt;=30,Tabla_Ventas[[#This Row],[TIPO DE CLIENTE/ Customer type]]="Member"),"PARTICIPA","NO PARTICIPA")</f>
        <v>PARTICIPA</v>
      </c>
    </row>
    <row r="945" spans="1:12" ht="19" x14ac:dyDescent="0.25">
      <c r="A945" s="45">
        <v>648831321</v>
      </c>
      <c r="B945" s="46" t="s">
        <v>19</v>
      </c>
      <c r="C945" s="46" t="s">
        <v>13</v>
      </c>
      <c r="D945" s="46" t="s">
        <v>25</v>
      </c>
      <c r="E945" s="49">
        <v>63.56</v>
      </c>
      <c r="F945" s="48">
        <v>10</v>
      </c>
      <c r="G945" s="78">
        <f t="shared" si="14"/>
        <v>635.6</v>
      </c>
      <c r="H945" s="120">
        <v>43481</v>
      </c>
      <c r="I945" s="50">
        <v>0.74930555555555556</v>
      </c>
      <c r="J945" s="46" t="s">
        <v>23</v>
      </c>
      <c r="K945" s="51">
        <v>4.3</v>
      </c>
      <c r="L945" s="122" t="str">
        <f>IF(AND(Tabla_Ventas[[#This Row],[VENTA TOTAL]]&gt;=30,Tabla_Ventas[[#This Row],[TIPO DE CLIENTE/ Customer type]]="Member"),"PARTICIPA","NO PARTICIPA")</f>
        <v>PARTICIPA</v>
      </c>
    </row>
    <row r="946" spans="1:12" ht="19" x14ac:dyDescent="0.25">
      <c r="A946" s="45">
        <v>826588051</v>
      </c>
      <c r="B946" s="46" t="s">
        <v>12</v>
      </c>
      <c r="C946" s="46" t="s">
        <v>18</v>
      </c>
      <c r="D946" s="46" t="s">
        <v>25</v>
      </c>
      <c r="E946" s="49">
        <v>62.19</v>
      </c>
      <c r="F946" s="48">
        <v>4</v>
      </c>
      <c r="G946" s="78">
        <f t="shared" si="14"/>
        <v>248.76</v>
      </c>
      <c r="H946" s="120">
        <v>43471</v>
      </c>
      <c r="I946" s="50">
        <v>0.82361111111111107</v>
      </c>
      <c r="J946" s="46" t="s">
        <v>17</v>
      </c>
      <c r="K946" s="51">
        <v>4.3</v>
      </c>
      <c r="L946" s="122" t="str">
        <f>IF(AND(Tabla_Ventas[[#This Row],[VENTA TOTAL]]&gt;=30,Tabla_Ventas[[#This Row],[TIPO DE CLIENTE/ Customer type]]="Member"),"PARTICIPA","NO PARTICIPA")</f>
        <v>NO PARTICIPA</v>
      </c>
    </row>
    <row r="947" spans="1:12" ht="19" x14ac:dyDescent="0.25">
      <c r="A947" s="45">
        <v>176647711</v>
      </c>
      <c r="B947" s="46" t="s">
        <v>12</v>
      </c>
      <c r="C947" s="46" t="s">
        <v>18</v>
      </c>
      <c r="D947" s="46" t="s">
        <v>24</v>
      </c>
      <c r="E947" s="49">
        <v>32.32</v>
      </c>
      <c r="F947" s="48">
        <v>3</v>
      </c>
      <c r="G947" s="78">
        <f t="shared" si="14"/>
        <v>96.960000000000008</v>
      </c>
      <c r="H947" s="120">
        <v>43551</v>
      </c>
      <c r="I947" s="50">
        <v>0.7993055555555556</v>
      </c>
      <c r="J947" s="46" t="s">
        <v>15</v>
      </c>
      <c r="K947" s="51">
        <v>4.3</v>
      </c>
      <c r="L947" s="122" t="str">
        <f>IF(AND(Tabla_Ventas[[#This Row],[VENTA TOTAL]]&gt;=30,Tabla_Ventas[[#This Row],[TIPO DE CLIENTE/ Customer type]]="Member"),"PARTICIPA","NO PARTICIPA")</f>
        <v>NO PARTICIPA</v>
      </c>
    </row>
    <row r="948" spans="1:12" ht="19" x14ac:dyDescent="0.25">
      <c r="A948" s="45">
        <v>605831050</v>
      </c>
      <c r="B948" s="46" t="s">
        <v>12</v>
      </c>
      <c r="C948" s="46" t="s">
        <v>18</v>
      </c>
      <c r="D948" s="46" t="s">
        <v>22</v>
      </c>
      <c r="E948" s="49">
        <v>27.18</v>
      </c>
      <c r="F948" s="48">
        <v>2</v>
      </c>
      <c r="G948" s="78">
        <f t="shared" si="14"/>
        <v>54.36</v>
      </c>
      <c r="H948" s="120">
        <v>43539</v>
      </c>
      <c r="I948" s="50">
        <v>0.68472222222222223</v>
      </c>
      <c r="J948" s="46" t="s">
        <v>17</v>
      </c>
      <c r="K948" s="51">
        <v>4.3</v>
      </c>
      <c r="L948" s="122" t="str">
        <f>IF(AND(Tabla_Ventas[[#This Row],[VENTA TOTAL]]&gt;=30,Tabla_Ventas[[#This Row],[TIPO DE CLIENTE/ Customer type]]="Member"),"PARTICIPA","NO PARTICIPA")</f>
        <v>NO PARTICIPA</v>
      </c>
    </row>
    <row r="949" spans="1:12" ht="19" x14ac:dyDescent="0.25">
      <c r="A949" s="45">
        <v>416179926</v>
      </c>
      <c r="B949" s="46" t="s">
        <v>19</v>
      </c>
      <c r="C949" s="46" t="s">
        <v>13</v>
      </c>
      <c r="D949" s="46" t="s">
        <v>21</v>
      </c>
      <c r="E949" s="49">
        <v>74.22</v>
      </c>
      <c r="F949" s="48">
        <v>10</v>
      </c>
      <c r="G949" s="78">
        <f t="shared" si="14"/>
        <v>742.2</v>
      </c>
      <c r="H949" s="120">
        <v>43466</v>
      </c>
      <c r="I949" s="50">
        <v>0.61249999999999993</v>
      </c>
      <c r="J949" s="46" t="s">
        <v>15</v>
      </c>
      <c r="K949" s="51">
        <v>4.3</v>
      </c>
      <c r="L949" s="122" t="str">
        <f>IF(AND(Tabla_Ventas[[#This Row],[VENTA TOTAL]]&gt;=30,Tabla_Ventas[[#This Row],[TIPO DE CLIENTE/ Customer type]]="Member"),"PARTICIPA","NO PARTICIPA")</f>
        <v>PARTICIPA</v>
      </c>
    </row>
    <row r="950" spans="1:12" ht="19" x14ac:dyDescent="0.25">
      <c r="A950" s="45">
        <v>152034217</v>
      </c>
      <c r="B950" s="46" t="s">
        <v>12</v>
      </c>
      <c r="C950" s="46" t="s">
        <v>18</v>
      </c>
      <c r="D950" s="46" t="s">
        <v>25</v>
      </c>
      <c r="E950" s="49">
        <v>11.28</v>
      </c>
      <c r="F950" s="48">
        <v>9</v>
      </c>
      <c r="G950" s="78">
        <f t="shared" si="14"/>
        <v>101.52</v>
      </c>
      <c r="H950" s="120">
        <v>43541</v>
      </c>
      <c r="I950" s="50">
        <v>0.49652777777777773</v>
      </c>
      <c r="J950" s="46" t="s">
        <v>15</v>
      </c>
      <c r="K950" s="51">
        <v>4.3</v>
      </c>
      <c r="L950" s="122" t="str">
        <f>IF(AND(Tabla_Ventas[[#This Row],[VENTA TOTAL]]&gt;=30,Tabla_Ventas[[#This Row],[TIPO DE CLIENTE/ Customer type]]="Member"),"PARTICIPA","NO PARTICIPA")</f>
        <v>NO PARTICIPA</v>
      </c>
    </row>
    <row r="951" spans="1:12" ht="19" x14ac:dyDescent="0.25">
      <c r="A951" s="45">
        <v>631341880</v>
      </c>
      <c r="B951" s="46" t="s">
        <v>16</v>
      </c>
      <c r="C951" s="46" t="s">
        <v>13</v>
      </c>
      <c r="D951" s="46" t="s">
        <v>24</v>
      </c>
      <c r="E951" s="49">
        <v>24.31</v>
      </c>
      <c r="F951" s="48">
        <v>3</v>
      </c>
      <c r="G951" s="78">
        <f t="shared" si="14"/>
        <v>72.929999999999993</v>
      </c>
      <c r="H951" s="120">
        <v>43473</v>
      </c>
      <c r="I951" s="50">
        <v>0.79791666666666661</v>
      </c>
      <c r="J951" s="46" t="s">
        <v>15</v>
      </c>
      <c r="K951" s="51">
        <v>4.3</v>
      </c>
      <c r="L951" s="122" t="str">
        <f>IF(AND(Tabla_Ventas[[#This Row],[VENTA TOTAL]]&gt;=30,Tabla_Ventas[[#This Row],[TIPO DE CLIENTE/ Customer type]]="Member"),"PARTICIPA","NO PARTICIPA")</f>
        <v>PARTICIPA</v>
      </c>
    </row>
    <row r="952" spans="1:12" ht="19" x14ac:dyDescent="0.25">
      <c r="A952" s="45">
        <v>764448999</v>
      </c>
      <c r="B952" s="46" t="s">
        <v>12</v>
      </c>
      <c r="C952" s="46" t="s">
        <v>18</v>
      </c>
      <c r="D952" s="46" t="s">
        <v>20</v>
      </c>
      <c r="E952" s="49">
        <v>14.76</v>
      </c>
      <c r="F952" s="48">
        <v>2</v>
      </c>
      <c r="G952" s="78">
        <f t="shared" si="14"/>
        <v>29.52</v>
      </c>
      <c r="H952" s="120">
        <v>43514</v>
      </c>
      <c r="I952" s="50">
        <v>0.61249999999999993</v>
      </c>
      <c r="J952" s="46" t="s">
        <v>17</v>
      </c>
      <c r="K952" s="51">
        <v>4.3</v>
      </c>
      <c r="L952" s="122" t="str">
        <f>IF(AND(Tabla_Ventas[[#This Row],[VENTA TOTAL]]&gt;=30,Tabla_Ventas[[#This Row],[TIPO DE CLIENTE/ Customer type]]="Member"),"PARTICIPA","NO PARTICIPA")</f>
        <v>NO PARTICIPA</v>
      </c>
    </row>
    <row r="953" spans="1:12" ht="19" x14ac:dyDescent="0.25">
      <c r="A953" s="45">
        <v>267627380</v>
      </c>
      <c r="B953" s="46" t="s">
        <v>16</v>
      </c>
      <c r="C953" s="46" t="s">
        <v>13</v>
      </c>
      <c r="D953" s="46" t="s">
        <v>21</v>
      </c>
      <c r="E953" s="49">
        <v>82.34</v>
      </c>
      <c r="F953" s="48">
        <v>10</v>
      </c>
      <c r="G953" s="78">
        <f t="shared" si="14"/>
        <v>823.40000000000009</v>
      </c>
      <c r="H953" s="120">
        <v>43553</v>
      </c>
      <c r="I953" s="50">
        <v>0.79999999999999993</v>
      </c>
      <c r="J953" s="46" t="s">
        <v>17</v>
      </c>
      <c r="K953" s="51">
        <v>4.3</v>
      </c>
      <c r="L953" s="122" t="str">
        <f>IF(AND(Tabla_Ventas[[#This Row],[VENTA TOTAL]]&gt;=30,Tabla_Ventas[[#This Row],[TIPO DE CLIENTE/ Customer type]]="Member"),"PARTICIPA","NO PARTICIPA")</f>
        <v>PARTICIPA</v>
      </c>
    </row>
    <row r="954" spans="1:12" ht="19" x14ac:dyDescent="0.25">
      <c r="A954" s="45">
        <v>588017461</v>
      </c>
      <c r="B954" s="46" t="s">
        <v>12</v>
      </c>
      <c r="C954" s="46" t="s">
        <v>18</v>
      </c>
      <c r="D954" s="46" t="s">
        <v>24</v>
      </c>
      <c r="E954" s="47">
        <v>33.979999999999997</v>
      </c>
      <c r="F954" s="48">
        <v>9</v>
      </c>
      <c r="G954" s="78">
        <f t="shared" si="14"/>
        <v>305.82</v>
      </c>
      <c r="H954" s="120">
        <v>43548</v>
      </c>
      <c r="I954" s="50">
        <v>0.4465277777777778</v>
      </c>
      <c r="J954" s="46" t="s">
        <v>23</v>
      </c>
      <c r="K954" s="51">
        <v>4.2</v>
      </c>
      <c r="L954" s="122" t="str">
        <f>IF(AND(Tabla_Ventas[[#This Row],[VENTA TOTAL]]&gt;=30,Tabla_Ventas[[#This Row],[TIPO DE CLIENTE/ Customer type]]="Member"),"PARTICIPA","NO PARTICIPA")</f>
        <v>NO PARTICIPA</v>
      </c>
    </row>
    <row r="955" spans="1:12" ht="19" x14ac:dyDescent="0.25">
      <c r="A955" s="45">
        <v>219229386</v>
      </c>
      <c r="B955" s="46" t="s">
        <v>16</v>
      </c>
      <c r="C955" s="46" t="s">
        <v>13</v>
      </c>
      <c r="D955" s="46" t="s">
        <v>14</v>
      </c>
      <c r="E955" s="47">
        <v>99.96</v>
      </c>
      <c r="F955" s="48">
        <v>9</v>
      </c>
      <c r="G955" s="78">
        <f t="shared" si="14"/>
        <v>899.64</v>
      </c>
      <c r="H955" s="120">
        <v>43533</v>
      </c>
      <c r="I955" s="50">
        <v>0.72638888888888886</v>
      </c>
      <c r="J955" s="46" t="s">
        <v>15</v>
      </c>
      <c r="K955" s="51">
        <v>4.2</v>
      </c>
      <c r="L955" s="122" t="str">
        <f>IF(AND(Tabla_Ventas[[#This Row],[VENTA TOTAL]]&gt;=30,Tabla_Ventas[[#This Row],[TIPO DE CLIENTE/ Customer type]]="Member"),"PARTICIPA","NO PARTICIPA")</f>
        <v>PARTICIPA</v>
      </c>
    </row>
    <row r="956" spans="1:12" ht="19" x14ac:dyDescent="0.25">
      <c r="A956" s="45">
        <v>217581179</v>
      </c>
      <c r="B956" s="46" t="s">
        <v>19</v>
      </c>
      <c r="C956" s="46" t="s">
        <v>13</v>
      </c>
      <c r="D956" s="46" t="s">
        <v>25</v>
      </c>
      <c r="E956" s="47">
        <v>62.65</v>
      </c>
      <c r="F956" s="48">
        <v>4</v>
      </c>
      <c r="G956" s="78">
        <f t="shared" si="14"/>
        <v>250.6</v>
      </c>
      <c r="H956" s="120">
        <v>43586</v>
      </c>
      <c r="I956" s="50">
        <v>0.47569444444444442</v>
      </c>
      <c r="J956" s="46" t="s">
        <v>23</v>
      </c>
      <c r="K956" s="51">
        <v>4.2</v>
      </c>
      <c r="L956" s="122" t="str">
        <f>IF(AND(Tabla_Ventas[[#This Row],[VENTA TOTAL]]&gt;=30,Tabla_Ventas[[#This Row],[TIPO DE CLIENTE/ Customer type]]="Member"),"PARTICIPA","NO PARTICIPA")</f>
        <v>PARTICIPA</v>
      </c>
    </row>
    <row r="957" spans="1:12" ht="19" x14ac:dyDescent="0.25">
      <c r="A957" s="45">
        <v>785137708</v>
      </c>
      <c r="B957" s="46" t="s">
        <v>16</v>
      </c>
      <c r="C957" s="46" t="s">
        <v>18</v>
      </c>
      <c r="D957" s="46" t="s">
        <v>24</v>
      </c>
      <c r="E957" s="47">
        <v>73.06</v>
      </c>
      <c r="F957" s="48">
        <v>7</v>
      </c>
      <c r="G957" s="78">
        <f t="shared" si="14"/>
        <v>511.42</v>
      </c>
      <c r="H957" s="120">
        <v>43479</v>
      </c>
      <c r="I957" s="50">
        <v>0.79583333333333339</v>
      </c>
      <c r="J957" s="46" t="s">
        <v>15</v>
      </c>
      <c r="K957" s="51">
        <v>4.2</v>
      </c>
      <c r="L957" s="122" t="str">
        <f>IF(AND(Tabla_Ventas[[#This Row],[VENTA TOTAL]]&gt;=30,Tabla_Ventas[[#This Row],[TIPO DE CLIENTE/ Customer type]]="Member"),"PARTICIPA","NO PARTICIPA")</f>
        <v>NO PARTICIPA</v>
      </c>
    </row>
    <row r="958" spans="1:12" ht="19" x14ac:dyDescent="0.25">
      <c r="A958" s="45">
        <v>447157839</v>
      </c>
      <c r="B958" s="46" t="s">
        <v>19</v>
      </c>
      <c r="C958" s="46" t="s">
        <v>13</v>
      </c>
      <c r="D958" s="46" t="s">
        <v>14</v>
      </c>
      <c r="E958" s="47">
        <v>22.24</v>
      </c>
      <c r="F958" s="48">
        <v>10</v>
      </c>
      <c r="G958" s="78">
        <f t="shared" si="14"/>
        <v>222.39999999999998</v>
      </c>
      <c r="H958" s="120">
        <v>43710</v>
      </c>
      <c r="I958" s="50">
        <v>0.45833333333333331</v>
      </c>
      <c r="J958" s="46" t="s">
        <v>23</v>
      </c>
      <c r="K958" s="51">
        <v>4.2</v>
      </c>
      <c r="L958" s="122" t="str">
        <f>IF(AND(Tabla_Ventas[[#This Row],[VENTA TOTAL]]&gt;=30,Tabla_Ventas[[#This Row],[TIPO DE CLIENTE/ Customer type]]="Member"),"PARTICIPA","NO PARTICIPA")</f>
        <v>PARTICIPA</v>
      </c>
    </row>
    <row r="959" spans="1:12" ht="19" x14ac:dyDescent="0.25">
      <c r="A959" s="45">
        <v>430603493</v>
      </c>
      <c r="B959" s="46" t="s">
        <v>19</v>
      </c>
      <c r="C959" s="46" t="s">
        <v>13</v>
      </c>
      <c r="D959" s="46" t="s">
        <v>25</v>
      </c>
      <c r="E959" s="47">
        <v>94.88</v>
      </c>
      <c r="F959" s="48">
        <v>7</v>
      </c>
      <c r="G959" s="78">
        <f t="shared" si="14"/>
        <v>664.16</v>
      </c>
      <c r="H959" s="120">
        <v>43499</v>
      </c>
      <c r="I959" s="50">
        <v>0.60972222222222217</v>
      </c>
      <c r="J959" s="46" t="s">
        <v>23</v>
      </c>
      <c r="K959" s="51">
        <v>4.2</v>
      </c>
      <c r="L959" s="122" t="str">
        <f>IF(AND(Tabla_Ventas[[#This Row],[VENTA TOTAL]]&gt;=30,Tabla_Ventas[[#This Row],[TIPO DE CLIENTE/ Customer type]]="Member"),"PARTICIPA","NO PARTICIPA")</f>
        <v>PARTICIPA</v>
      </c>
    </row>
    <row r="960" spans="1:12" ht="19" x14ac:dyDescent="0.25">
      <c r="A960" s="45">
        <v>462785240</v>
      </c>
      <c r="B960" s="46" t="s">
        <v>12</v>
      </c>
      <c r="C960" s="46" t="s">
        <v>18</v>
      </c>
      <c r="D960" s="46" t="s">
        <v>21</v>
      </c>
      <c r="E960" s="47">
        <v>26.61</v>
      </c>
      <c r="F960" s="48">
        <v>2</v>
      </c>
      <c r="G960" s="78">
        <f t="shared" si="14"/>
        <v>53.22</v>
      </c>
      <c r="H960" s="120">
        <v>43543</v>
      </c>
      <c r="I960" s="50">
        <v>0.60763888888888895</v>
      </c>
      <c r="J960" s="46" t="s">
        <v>23</v>
      </c>
      <c r="K960" s="51">
        <v>4.2</v>
      </c>
      <c r="L960" s="122" t="str">
        <f>IF(AND(Tabla_Ventas[[#This Row],[VENTA TOTAL]]&gt;=30,Tabla_Ventas[[#This Row],[TIPO DE CLIENTE/ Customer type]]="Member"),"PARTICIPA","NO PARTICIPA")</f>
        <v>NO PARTICIPA</v>
      </c>
    </row>
    <row r="961" spans="1:12" ht="19" x14ac:dyDescent="0.25">
      <c r="A961" s="45">
        <v>153584872</v>
      </c>
      <c r="B961" s="46" t="s">
        <v>12</v>
      </c>
      <c r="C961" s="46" t="s">
        <v>13</v>
      </c>
      <c r="D961" s="46" t="s">
        <v>24</v>
      </c>
      <c r="E961" s="47">
        <v>74.89</v>
      </c>
      <c r="F961" s="48">
        <v>4</v>
      </c>
      <c r="G961" s="78">
        <f t="shared" si="14"/>
        <v>299.56</v>
      </c>
      <c r="H961" s="120">
        <v>43468</v>
      </c>
      <c r="I961" s="50">
        <v>0.64722222222222225</v>
      </c>
      <c r="J961" s="46" t="s">
        <v>17</v>
      </c>
      <c r="K961" s="51">
        <v>4.2</v>
      </c>
      <c r="L961" s="122" t="str">
        <f>IF(AND(Tabla_Ventas[[#This Row],[VENTA TOTAL]]&gt;=30,Tabla_Ventas[[#This Row],[TIPO DE CLIENTE/ Customer type]]="Member"),"PARTICIPA","NO PARTICIPA")</f>
        <v>PARTICIPA</v>
      </c>
    </row>
    <row r="962" spans="1:12" ht="19" x14ac:dyDescent="0.25">
      <c r="A962" s="45">
        <v>485308700</v>
      </c>
      <c r="B962" s="46" t="s">
        <v>19</v>
      </c>
      <c r="C962" s="46" t="s">
        <v>18</v>
      </c>
      <c r="D962" s="46" t="s">
        <v>14</v>
      </c>
      <c r="E962" s="47">
        <v>33.26</v>
      </c>
      <c r="F962" s="48">
        <v>5</v>
      </c>
      <c r="G962" s="78">
        <f t="shared" si="14"/>
        <v>166.29999999999998</v>
      </c>
      <c r="H962" s="120">
        <v>43542</v>
      </c>
      <c r="I962" s="50">
        <v>0.67361111111111116</v>
      </c>
      <c r="J962" s="46" t="s">
        <v>15</v>
      </c>
      <c r="K962" s="51">
        <v>4.2</v>
      </c>
      <c r="L962" s="122" t="str">
        <f>IF(AND(Tabla_Ventas[[#This Row],[VENTA TOTAL]]&gt;=30,Tabla_Ventas[[#This Row],[TIPO DE CLIENTE/ Customer type]]="Member"),"PARTICIPA","NO PARTICIPA")</f>
        <v>NO PARTICIPA</v>
      </c>
    </row>
    <row r="963" spans="1:12" ht="19" x14ac:dyDescent="0.25">
      <c r="A963" s="45">
        <v>539217227</v>
      </c>
      <c r="B963" s="46" t="s">
        <v>16</v>
      </c>
      <c r="C963" s="46" t="s">
        <v>18</v>
      </c>
      <c r="D963" s="46" t="s">
        <v>14</v>
      </c>
      <c r="E963" s="47">
        <v>51.54</v>
      </c>
      <c r="F963" s="48">
        <v>5</v>
      </c>
      <c r="G963" s="78">
        <f t="shared" si="14"/>
        <v>257.7</v>
      </c>
      <c r="H963" s="120">
        <v>43491</v>
      </c>
      <c r="I963" s="50">
        <v>0.73958333333333337</v>
      </c>
      <c r="J963" s="46" t="s">
        <v>23</v>
      </c>
      <c r="K963" s="51">
        <v>4.2</v>
      </c>
      <c r="L963" s="122" t="str">
        <f>IF(AND(Tabla_Ventas[[#This Row],[VENTA TOTAL]]&gt;=30,Tabla_Ventas[[#This Row],[TIPO DE CLIENTE/ Customer type]]="Member"),"PARTICIPA","NO PARTICIPA")</f>
        <v>NO PARTICIPA</v>
      </c>
    </row>
    <row r="964" spans="1:12" ht="19" x14ac:dyDescent="0.25">
      <c r="A964" s="45">
        <v>443590061</v>
      </c>
      <c r="B964" s="46" t="s">
        <v>19</v>
      </c>
      <c r="C964" s="46" t="s">
        <v>13</v>
      </c>
      <c r="D964" s="46" t="s">
        <v>24</v>
      </c>
      <c r="E964" s="49">
        <v>67.45</v>
      </c>
      <c r="F964" s="48">
        <v>10</v>
      </c>
      <c r="G964" s="78">
        <f t="shared" ref="G964:G1003" si="15">F964*E964</f>
        <v>674.5</v>
      </c>
      <c r="H964" s="120">
        <v>43499</v>
      </c>
      <c r="I964" s="50">
        <v>0.47569444444444442</v>
      </c>
      <c r="J964" s="46" t="s">
        <v>17</v>
      </c>
      <c r="K964" s="51">
        <v>4.2</v>
      </c>
      <c r="L964" s="122" t="str">
        <f>IF(AND(Tabla_Ventas[[#This Row],[VENTA TOTAL]]&gt;=30,Tabla_Ventas[[#This Row],[TIPO DE CLIENTE/ Customer type]]="Member"),"PARTICIPA","NO PARTICIPA")</f>
        <v>PARTICIPA</v>
      </c>
    </row>
    <row r="965" spans="1:12" ht="19" x14ac:dyDescent="0.25">
      <c r="A965" s="45">
        <v>509293912</v>
      </c>
      <c r="B965" s="46" t="s">
        <v>19</v>
      </c>
      <c r="C965" s="46" t="s">
        <v>13</v>
      </c>
      <c r="D965" s="46" t="s">
        <v>14</v>
      </c>
      <c r="E965" s="49">
        <v>38.72</v>
      </c>
      <c r="F965" s="48">
        <v>9</v>
      </c>
      <c r="G965" s="78">
        <f t="shared" si="15"/>
        <v>348.48</v>
      </c>
      <c r="H965" s="120">
        <v>43544</v>
      </c>
      <c r="I965" s="50">
        <v>0.51666666666666672</v>
      </c>
      <c r="J965" s="46" t="s">
        <v>17</v>
      </c>
      <c r="K965" s="51">
        <v>4.2</v>
      </c>
      <c r="L965" s="122" t="str">
        <f>IF(AND(Tabla_Ventas[[#This Row],[VENTA TOTAL]]&gt;=30,Tabla_Ventas[[#This Row],[TIPO DE CLIENTE/ Customer type]]="Member"),"PARTICIPA","NO PARTICIPA")</f>
        <v>PARTICIPA</v>
      </c>
    </row>
    <row r="966" spans="1:12" ht="19" x14ac:dyDescent="0.25">
      <c r="A966" s="45">
        <v>525098450</v>
      </c>
      <c r="B966" s="46" t="s">
        <v>12</v>
      </c>
      <c r="C966" s="46" t="s">
        <v>18</v>
      </c>
      <c r="D966" s="46" t="s">
        <v>21</v>
      </c>
      <c r="E966" s="49">
        <v>72.13</v>
      </c>
      <c r="F966" s="48">
        <v>10</v>
      </c>
      <c r="G966" s="78">
        <f t="shared" si="15"/>
        <v>721.3</v>
      </c>
      <c r="H966" s="120">
        <v>43496</v>
      </c>
      <c r="I966" s="50">
        <v>0.6333333333333333</v>
      </c>
      <c r="J966" s="46" t="s">
        <v>15</v>
      </c>
      <c r="K966" s="51">
        <v>4.2</v>
      </c>
      <c r="L966" s="122" t="str">
        <f>IF(AND(Tabla_Ventas[[#This Row],[VENTA TOTAL]]&gt;=30,Tabla_Ventas[[#This Row],[TIPO DE CLIENTE/ Customer type]]="Member"),"PARTICIPA","NO PARTICIPA")</f>
        <v>NO PARTICIPA</v>
      </c>
    </row>
    <row r="967" spans="1:12" ht="19" x14ac:dyDescent="0.25">
      <c r="A967" s="45">
        <v>102772261</v>
      </c>
      <c r="B967" s="46" t="s">
        <v>16</v>
      </c>
      <c r="C967" s="46" t="s">
        <v>13</v>
      </c>
      <c r="D967" s="46" t="s">
        <v>20</v>
      </c>
      <c r="E967" s="49">
        <v>65.31</v>
      </c>
      <c r="F967" s="48">
        <v>7</v>
      </c>
      <c r="G967" s="78">
        <f t="shared" si="15"/>
        <v>457.17</v>
      </c>
      <c r="H967" s="120">
        <v>43529</v>
      </c>
      <c r="I967" s="50">
        <v>0.75138888888888899</v>
      </c>
      <c r="J967" s="46" t="s">
        <v>15</v>
      </c>
      <c r="K967" s="51">
        <v>4.2</v>
      </c>
      <c r="L967" s="122" t="str">
        <f>IF(AND(Tabla_Ventas[[#This Row],[VENTA TOTAL]]&gt;=30,Tabla_Ventas[[#This Row],[TIPO DE CLIENTE/ Customer type]]="Member"),"PARTICIPA","NO PARTICIPA")</f>
        <v>PARTICIPA</v>
      </c>
    </row>
    <row r="968" spans="1:12" ht="19" x14ac:dyDescent="0.25">
      <c r="A968" s="45">
        <v>220686701</v>
      </c>
      <c r="B968" s="46" t="s">
        <v>19</v>
      </c>
      <c r="C968" s="46" t="s">
        <v>18</v>
      </c>
      <c r="D968" s="46" t="s">
        <v>25</v>
      </c>
      <c r="E968" s="49">
        <v>77.47</v>
      </c>
      <c r="F968" s="48">
        <v>4</v>
      </c>
      <c r="G968" s="78">
        <f t="shared" si="15"/>
        <v>309.88</v>
      </c>
      <c r="H968" s="120">
        <v>43541</v>
      </c>
      <c r="I968" s="50">
        <v>0.69166666666666676</v>
      </c>
      <c r="J968" s="46" t="s">
        <v>23</v>
      </c>
      <c r="K968" s="51">
        <v>4.2</v>
      </c>
      <c r="L968" s="122" t="str">
        <f>IF(AND(Tabla_Ventas[[#This Row],[VENTA TOTAL]]&gt;=30,Tabla_Ventas[[#This Row],[TIPO DE CLIENTE/ Customer type]]="Member"),"PARTICIPA","NO PARTICIPA")</f>
        <v>NO PARTICIPA</v>
      </c>
    </row>
    <row r="969" spans="1:12" ht="19" x14ac:dyDescent="0.25">
      <c r="A969" s="45">
        <v>125452293</v>
      </c>
      <c r="B969" s="46" t="s">
        <v>19</v>
      </c>
      <c r="C969" s="46" t="s">
        <v>18</v>
      </c>
      <c r="D969" s="46" t="s">
        <v>22</v>
      </c>
      <c r="E969" s="49">
        <v>99.1</v>
      </c>
      <c r="F969" s="48">
        <v>6</v>
      </c>
      <c r="G969" s="78">
        <f t="shared" si="15"/>
        <v>594.59999999999991</v>
      </c>
      <c r="H969" s="120">
        <v>43484</v>
      </c>
      <c r="I969" s="50">
        <v>0.5493055555555556</v>
      </c>
      <c r="J969" s="46" t="s">
        <v>23</v>
      </c>
      <c r="K969" s="51">
        <v>4.2</v>
      </c>
      <c r="L969" s="122" t="str">
        <f>IF(AND(Tabla_Ventas[[#This Row],[VENTA TOTAL]]&gt;=30,Tabla_Ventas[[#This Row],[TIPO DE CLIENTE/ Customer type]]="Member"),"PARTICIPA","NO PARTICIPA")</f>
        <v>NO PARTICIPA</v>
      </c>
    </row>
    <row r="970" spans="1:12" ht="19" x14ac:dyDescent="0.25">
      <c r="A970" s="45">
        <v>895036665</v>
      </c>
      <c r="B970" s="46" t="s">
        <v>12</v>
      </c>
      <c r="C970" s="46" t="s">
        <v>18</v>
      </c>
      <c r="D970" s="46" t="s">
        <v>22</v>
      </c>
      <c r="E970" s="49">
        <v>36.51</v>
      </c>
      <c r="F970" s="48">
        <v>9</v>
      </c>
      <c r="G970" s="78">
        <f t="shared" si="15"/>
        <v>328.59</v>
      </c>
      <c r="H970" s="120">
        <v>43512</v>
      </c>
      <c r="I970" s="50">
        <v>0.45277777777777778</v>
      </c>
      <c r="J970" s="46" t="s">
        <v>23</v>
      </c>
      <c r="K970" s="51">
        <v>4.2</v>
      </c>
      <c r="L970" s="122" t="str">
        <f>IF(AND(Tabla_Ventas[[#This Row],[VENTA TOTAL]]&gt;=30,Tabla_Ventas[[#This Row],[TIPO DE CLIENTE/ Customer type]]="Member"),"PARTICIPA","NO PARTICIPA")</f>
        <v>NO PARTICIPA</v>
      </c>
    </row>
    <row r="971" spans="1:12" ht="19" x14ac:dyDescent="0.25">
      <c r="A971" s="45">
        <v>699881972</v>
      </c>
      <c r="B971" s="46" t="s">
        <v>12</v>
      </c>
      <c r="C971" s="46" t="s">
        <v>18</v>
      </c>
      <c r="D971" s="46" t="s">
        <v>20</v>
      </c>
      <c r="E971" s="49">
        <v>99.16</v>
      </c>
      <c r="F971" s="48">
        <v>8</v>
      </c>
      <c r="G971" s="78">
        <f t="shared" si="15"/>
        <v>793.28</v>
      </c>
      <c r="H971" s="120">
        <v>43493</v>
      </c>
      <c r="I971" s="50">
        <v>0.74097222222222225</v>
      </c>
      <c r="J971" s="46" t="s">
        <v>15</v>
      </c>
      <c r="K971" s="51">
        <v>4.2</v>
      </c>
      <c r="L971" s="122" t="str">
        <f>IF(AND(Tabla_Ventas[[#This Row],[VENTA TOTAL]]&gt;=30,Tabla_Ventas[[#This Row],[TIPO DE CLIENTE/ Customer type]]="Member"),"PARTICIPA","NO PARTICIPA")</f>
        <v>NO PARTICIPA</v>
      </c>
    </row>
    <row r="972" spans="1:12" ht="19" x14ac:dyDescent="0.25">
      <c r="A972" s="45">
        <v>595949924</v>
      </c>
      <c r="B972" s="46" t="s">
        <v>19</v>
      </c>
      <c r="C972" s="46" t="s">
        <v>13</v>
      </c>
      <c r="D972" s="46" t="s">
        <v>20</v>
      </c>
      <c r="E972" s="49">
        <v>27.73</v>
      </c>
      <c r="F972" s="48">
        <v>5</v>
      </c>
      <c r="G972" s="78">
        <f t="shared" si="15"/>
        <v>138.65</v>
      </c>
      <c r="H972" s="120">
        <v>43550</v>
      </c>
      <c r="I972" s="50">
        <v>0.84791666666666676</v>
      </c>
      <c r="J972" s="46" t="s">
        <v>15</v>
      </c>
      <c r="K972" s="51">
        <v>4.2</v>
      </c>
      <c r="L972" s="122" t="str">
        <f>IF(AND(Tabla_Ventas[[#This Row],[VENTA TOTAL]]&gt;=30,Tabla_Ventas[[#This Row],[TIPO DE CLIENTE/ Customer type]]="Member"),"PARTICIPA","NO PARTICIPA")</f>
        <v>PARTICIPA</v>
      </c>
    </row>
    <row r="973" spans="1:12" ht="19" x14ac:dyDescent="0.25">
      <c r="A973" s="45">
        <v>624018356</v>
      </c>
      <c r="B973" s="46" t="s">
        <v>12</v>
      </c>
      <c r="C973" s="46" t="s">
        <v>18</v>
      </c>
      <c r="D973" s="46" t="s">
        <v>25</v>
      </c>
      <c r="E973" s="49">
        <v>49.01</v>
      </c>
      <c r="F973" s="48">
        <v>10</v>
      </c>
      <c r="G973" s="78">
        <f t="shared" si="15"/>
        <v>490.09999999999997</v>
      </c>
      <c r="H973" s="120">
        <v>43492</v>
      </c>
      <c r="I973" s="50">
        <v>0.44722222222222219</v>
      </c>
      <c r="J973" s="46" t="s">
        <v>15</v>
      </c>
      <c r="K973" s="51">
        <v>4.2</v>
      </c>
      <c r="L973" s="122" t="str">
        <f>IF(AND(Tabla_Ventas[[#This Row],[VENTA TOTAL]]&gt;=30,Tabla_Ventas[[#This Row],[TIPO DE CLIENTE/ Customer type]]="Member"),"PARTICIPA","NO PARTICIPA")</f>
        <v>NO PARTICIPA</v>
      </c>
    </row>
    <row r="974" spans="1:12" ht="19" x14ac:dyDescent="0.25">
      <c r="A974" s="45">
        <v>131708179</v>
      </c>
      <c r="B974" s="46" t="s">
        <v>19</v>
      </c>
      <c r="C974" s="46" t="s">
        <v>13</v>
      </c>
      <c r="D974" s="46" t="s">
        <v>20</v>
      </c>
      <c r="E974" s="49">
        <v>92.09</v>
      </c>
      <c r="F974" s="48">
        <v>3</v>
      </c>
      <c r="G974" s="78">
        <f t="shared" si="15"/>
        <v>276.27</v>
      </c>
      <c r="H974" s="120">
        <v>43513</v>
      </c>
      <c r="I974" s="50">
        <v>0.68541666666666667</v>
      </c>
      <c r="J974" s="46" t="s">
        <v>23</v>
      </c>
      <c r="K974" s="51">
        <v>4.2</v>
      </c>
      <c r="L974" s="122" t="str">
        <f>IF(AND(Tabla_Ventas[[#This Row],[VENTA TOTAL]]&gt;=30,Tabla_Ventas[[#This Row],[TIPO DE CLIENTE/ Customer type]]="Member"),"PARTICIPA","NO PARTICIPA")</f>
        <v>PARTICIPA</v>
      </c>
    </row>
    <row r="975" spans="1:12" ht="19" x14ac:dyDescent="0.25">
      <c r="A975" s="45">
        <v>333232632</v>
      </c>
      <c r="B975" s="46" t="s">
        <v>19</v>
      </c>
      <c r="C975" s="46" t="s">
        <v>13</v>
      </c>
      <c r="D975" s="46" t="s">
        <v>20</v>
      </c>
      <c r="E975" s="49">
        <v>10.08</v>
      </c>
      <c r="F975" s="48">
        <v>7</v>
      </c>
      <c r="G975" s="78">
        <f t="shared" si="15"/>
        <v>70.56</v>
      </c>
      <c r="H975" s="120">
        <v>43552</v>
      </c>
      <c r="I975" s="50">
        <v>0.84305555555555556</v>
      </c>
      <c r="J975" s="46" t="s">
        <v>23</v>
      </c>
      <c r="K975" s="51">
        <v>4.2</v>
      </c>
      <c r="L975" s="122" t="str">
        <f>IF(AND(Tabla_Ventas[[#This Row],[VENTA TOTAL]]&gt;=30,Tabla_Ventas[[#This Row],[TIPO DE CLIENTE/ Customer type]]="Member"),"PARTICIPA","NO PARTICIPA")</f>
        <v>PARTICIPA</v>
      </c>
    </row>
    <row r="976" spans="1:12" ht="19" x14ac:dyDescent="0.25">
      <c r="A976" s="45">
        <v>699143026</v>
      </c>
      <c r="B976" s="46" t="s">
        <v>12</v>
      </c>
      <c r="C976" s="46" t="s">
        <v>18</v>
      </c>
      <c r="D976" s="46" t="s">
        <v>21</v>
      </c>
      <c r="E976" s="47">
        <v>85.39</v>
      </c>
      <c r="F976" s="48">
        <v>7</v>
      </c>
      <c r="G976" s="78">
        <f t="shared" si="15"/>
        <v>597.73</v>
      </c>
      <c r="H976" s="120">
        <v>43549</v>
      </c>
      <c r="I976" s="50">
        <v>0.77083333333333337</v>
      </c>
      <c r="J976" s="46" t="s">
        <v>17</v>
      </c>
      <c r="K976" s="51">
        <v>4.0999999999999996</v>
      </c>
      <c r="L976" s="122" t="str">
        <f>IF(AND(Tabla_Ventas[[#This Row],[VENTA TOTAL]]&gt;=30,Tabla_Ventas[[#This Row],[TIPO DE CLIENTE/ Customer type]]="Member"),"PARTICIPA","NO PARTICIPA")</f>
        <v>NO PARTICIPA</v>
      </c>
    </row>
    <row r="977" spans="1:12" ht="19" x14ac:dyDescent="0.25">
      <c r="A977" s="45">
        <v>727463608</v>
      </c>
      <c r="B977" s="46" t="s">
        <v>16</v>
      </c>
      <c r="C977" s="46" t="s">
        <v>13</v>
      </c>
      <c r="D977" s="46" t="s">
        <v>24</v>
      </c>
      <c r="E977" s="47">
        <v>20.010000000000002</v>
      </c>
      <c r="F977" s="48">
        <v>9</v>
      </c>
      <c r="G977" s="78">
        <f t="shared" si="15"/>
        <v>180.09</v>
      </c>
      <c r="H977" s="120">
        <v>43618</v>
      </c>
      <c r="I977" s="50">
        <v>0.65763888888888888</v>
      </c>
      <c r="J977" s="46" t="s">
        <v>17</v>
      </c>
      <c r="K977" s="51">
        <v>4.0999999999999996</v>
      </c>
      <c r="L977" s="122" t="str">
        <f>IF(AND(Tabla_Ventas[[#This Row],[VENTA TOTAL]]&gt;=30,Tabla_Ventas[[#This Row],[TIPO DE CLIENTE/ Customer type]]="Member"),"PARTICIPA","NO PARTICIPA")</f>
        <v>PARTICIPA</v>
      </c>
    </row>
    <row r="978" spans="1:12" ht="19" x14ac:dyDescent="0.25">
      <c r="A978" s="45">
        <v>871399221</v>
      </c>
      <c r="B978" s="46" t="s">
        <v>12</v>
      </c>
      <c r="C978" s="46" t="s">
        <v>18</v>
      </c>
      <c r="D978" s="46" t="s">
        <v>21</v>
      </c>
      <c r="E978" s="47">
        <v>12.45</v>
      </c>
      <c r="F978" s="48">
        <v>6</v>
      </c>
      <c r="G978" s="78">
        <f t="shared" si="15"/>
        <v>74.699999999999989</v>
      </c>
      <c r="H978" s="120">
        <v>43710</v>
      </c>
      <c r="I978" s="50">
        <v>0.5493055555555556</v>
      </c>
      <c r="J978" s="46" t="s">
        <v>23</v>
      </c>
      <c r="K978" s="51">
        <v>4.0999999999999996</v>
      </c>
      <c r="L978" s="122" t="str">
        <f>IF(AND(Tabla_Ventas[[#This Row],[VENTA TOTAL]]&gt;=30,Tabla_Ventas[[#This Row],[TIPO DE CLIENTE/ Customer type]]="Member"),"PARTICIPA","NO PARTICIPA")</f>
        <v>NO PARTICIPA</v>
      </c>
    </row>
    <row r="979" spans="1:12" ht="19" x14ac:dyDescent="0.25">
      <c r="A979" s="45">
        <v>163567055</v>
      </c>
      <c r="B979" s="46" t="s">
        <v>12</v>
      </c>
      <c r="C979" s="46" t="s">
        <v>13</v>
      </c>
      <c r="D979" s="46" t="s">
        <v>22</v>
      </c>
      <c r="E979" s="47">
        <v>48.71</v>
      </c>
      <c r="F979" s="48">
        <v>1</v>
      </c>
      <c r="G979" s="78">
        <f t="shared" si="15"/>
        <v>48.71</v>
      </c>
      <c r="H979" s="120">
        <v>43550</v>
      </c>
      <c r="I979" s="50">
        <v>0.80555555555555547</v>
      </c>
      <c r="J979" s="46" t="s">
        <v>23</v>
      </c>
      <c r="K979" s="51">
        <v>4.0999999999999996</v>
      </c>
      <c r="L979" s="122" t="str">
        <f>IF(AND(Tabla_Ventas[[#This Row],[VENTA TOTAL]]&gt;=30,Tabla_Ventas[[#This Row],[TIPO DE CLIENTE/ Customer type]]="Member"),"PARTICIPA","NO PARTICIPA")</f>
        <v>PARTICIPA</v>
      </c>
    </row>
    <row r="980" spans="1:12" ht="19" x14ac:dyDescent="0.25">
      <c r="A980" s="45">
        <v>378242715</v>
      </c>
      <c r="B980" s="46" t="s">
        <v>16</v>
      </c>
      <c r="C980" s="46" t="s">
        <v>18</v>
      </c>
      <c r="D980" s="46" t="s">
        <v>25</v>
      </c>
      <c r="E980" s="47">
        <v>53.44</v>
      </c>
      <c r="F980" s="48">
        <v>2</v>
      </c>
      <c r="G980" s="78">
        <f t="shared" si="15"/>
        <v>106.88</v>
      </c>
      <c r="H980" s="120">
        <v>43485</v>
      </c>
      <c r="I980" s="50">
        <v>0.85972222222222217</v>
      </c>
      <c r="J980" s="46" t="s">
        <v>17</v>
      </c>
      <c r="K980" s="51">
        <v>4.0999999999999996</v>
      </c>
      <c r="L980" s="122" t="str">
        <f>IF(AND(Tabla_Ventas[[#This Row],[VENTA TOTAL]]&gt;=30,Tabla_Ventas[[#This Row],[TIPO DE CLIENTE/ Customer type]]="Member"),"PARTICIPA","NO PARTICIPA")</f>
        <v>NO PARTICIPA</v>
      </c>
    </row>
    <row r="981" spans="1:12" ht="19" x14ac:dyDescent="0.25">
      <c r="A981" s="45">
        <v>645788093</v>
      </c>
      <c r="B981" s="46" t="s">
        <v>19</v>
      </c>
      <c r="C981" s="46" t="s">
        <v>18</v>
      </c>
      <c r="D981" s="46" t="s">
        <v>14</v>
      </c>
      <c r="E981" s="47">
        <v>93.14</v>
      </c>
      <c r="F981" s="48">
        <v>2</v>
      </c>
      <c r="G981" s="78">
        <f t="shared" si="15"/>
        <v>186.28</v>
      </c>
      <c r="H981" s="120">
        <v>43485</v>
      </c>
      <c r="I981" s="50">
        <v>0.75624999999999998</v>
      </c>
      <c r="J981" s="46" t="s">
        <v>17</v>
      </c>
      <c r="K981" s="51">
        <v>4.0999999999999996</v>
      </c>
      <c r="L981" s="122" t="str">
        <f>IF(AND(Tabla_Ventas[[#This Row],[VENTA TOTAL]]&gt;=30,Tabla_Ventas[[#This Row],[TIPO DE CLIENTE/ Customer type]]="Member"),"PARTICIPA","NO PARTICIPA")</f>
        <v>NO PARTICIPA</v>
      </c>
    </row>
    <row r="982" spans="1:12" ht="19" x14ac:dyDescent="0.25">
      <c r="A982" s="45">
        <v>803178013</v>
      </c>
      <c r="B982" s="46" t="s">
        <v>19</v>
      </c>
      <c r="C982" s="46" t="s">
        <v>13</v>
      </c>
      <c r="D982" s="46" t="s">
        <v>25</v>
      </c>
      <c r="E982" s="47">
        <v>88.79</v>
      </c>
      <c r="F982" s="48">
        <v>8</v>
      </c>
      <c r="G982" s="78">
        <f t="shared" si="15"/>
        <v>710.32</v>
      </c>
      <c r="H982" s="120">
        <v>43513</v>
      </c>
      <c r="I982" s="50">
        <v>0.71458333333333324</v>
      </c>
      <c r="J982" s="46" t="s">
        <v>23</v>
      </c>
      <c r="K982" s="51">
        <v>4.0999999999999996</v>
      </c>
      <c r="L982" s="122" t="str">
        <f>IF(AND(Tabla_Ventas[[#This Row],[VENTA TOTAL]]&gt;=30,Tabla_Ventas[[#This Row],[TIPO DE CLIENTE/ Customer type]]="Member"),"PARTICIPA","NO PARTICIPA")</f>
        <v>PARTICIPA</v>
      </c>
    </row>
    <row r="983" spans="1:12" ht="19" x14ac:dyDescent="0.25">
      <c r="A983" s="45">
        <v>725329708</v>
      </c>
      <c r="B983" s="46" t="s">
        <v>16</v>
      </c>
      <c r="C983" s="46" t="s">
        <v>13</v>
      </c>
      <c r="D983" s="46" t="s">
        <v>22</v>
      </c>
      <c r="E983" s="47">
        <v>68.709999999999994</v>
      </c>
      <c r="F983" s="48">
        <v>4</v>
      </c>
      <c r="G983" s="78">
        <f t="shared" si="15"/>
        <v>274.83999999999997</v>
      </c>
      <c r="H983" s="120">
        <v>43556</v>
      </c>
      <c r="I983" s="50">
        <v>0.79236111111111107</v>
      </c>
      <c r="J983" s="46" t="s">
        <v>23</v>
      </c>
      <c r="K983" s="51">
        <v>4.0999999999999996</v>
      </c>
      <c r="L983" s="122" t="str">
        <f>IF(AND(Tabla_Ventas[[#This Row],[VENTA TOTAL]]&gt;=30,Tabla_Ventas[[#This Row],[TIPO DE CLIENTE/ Customer type]]="Member"),"PARTICIPA","NO PARTICIPA")</f>
        <v>PARTICIPA</v>
      </c>
    </row>
    <row r="984" spans="1:12" ht="19" x14ac:dyDescent="0.25">
      <c r="A984" s="45">
        <v>408269866</v>
      </c>
      <c r="B984" s="46" t="s">
        <v>12</v>
      </c>
      <c r="C984" s="46" t="s">
        <v>18</v>
      </c>
      <c r="D984" s="46" t="s">
        <v>14</v>
      </c>
      <c r="E984" s="47">
        <v>73.98</v>
      </c>
      <c r="F984" s="48">
        <v>7</v>
      </c>
      <c r="G984" s="78">
        <f t="shared" si="15"/>
        <v>517.86</v>
      </c>
      <c r="H984" s="120">
        <v>43499</v>
      </c>
      <c r="I984" s="50">
        <v>0.6958333333333333</v>
      </c>
      <c r="J984" s="46" t="s">
        <v>17</v>
      </c>
      <c r="K984" s="51">
        <v>4.0999999999999996</v>
      </c>
      <c r="L984" s="122" t="str">
        <f>IF(AND(Tabla_Ventas[[#This Row],[VENTA TOTAL]]&gt;=30,Tabla_Ventas[[#This Row],[TIPO DE CLIENTE/ Customer type]]="Member"),"PARTICIPA","NO PARTICIPA")</f>
        <v>NO PARTICIPA</v>
      </c>
    </row>
    <row r="985" spans="1:12" ht="19" x14ac:dyDescent="0.25">
      <c r="A985" s="45">
        <v>679226530</v>
      </c>
      <c r="B985" s="46" t="s">
        <v>12</v>
      </c>
      <c r="C985" s="46" t="s">
        <v>18</v>
      </c>
      <c r="D985" s="46" t="s">
        <v>14</v>
      </c>
      <c r="E985" s="49">
        <v>40.619999999999997</v>
      </c>
      <c r="F985" s="48">
        <v>2</v>
      </c>
      <c r="G985" s="78">
        <f t="shared" si="15"/>
        <v>81.239999999999995</v>
      </c>
      <c r="H985" s="120">
        <v>43482</v>
      </c>
      <c r="I985" s="50">
        <v>0.41736111111111113</v>
      </c>
      <c r="J985" s="46" t="s">
        <v>15</v>
      </c>
      <c r="K985" s="51">
        <v>4.0999999999999996</v>
      </c>
      <c r="L985" s="122" t="str">
        <f>IF(AND(Tabla_Ventas[[#This Row],[VENTA TOTAL]]&gt;=30,Tabla_Ventas[[#This Row],[TIPO DE CLIENTE/ Customer type]]="Member"),"PARTICIPA","NO PARTICIPA")</f>
        <v>NO PARTICIPA</v>
      </c>
    </row>
    <row r="986" spans="1:12" ht="19" x14ac:dyDescent="0.25">
      <c r="A986" s="45">
        <v>210307976</v>
      </c>
      <c r="B986" s="46" t="s">
        <v>12</v>
      </c>
      <c r="C986" s="46" t="s">
        <v>13</v>
      </c>
      <c r="D986" s="46" t="s">
        <v>22</v>
      </c>
      <c r="E986" s="49">
        <v>22.32</v>
      </c>
      <c r="F986" s="48">
        <v>4</v>
      </c>
      <c r="G986" s="78">
        <f t="shared" si="15"/>
        <v>89.28</v>
      </c>
      <c r="H986" s="120">
        <v>43538</v>
      </c>
      <c r="I986" s="50">
        <v>0.4694444444444445</v>
      </c>
      <c r="J986" s="46" t="s">
        <v>17</v>
      </c>
      <c r="K986" s="51">
        <v>4.0999999999999996</v>
      </c>
      <c r="L986" s="122" t="str">
        <f>IF(AND(Tabla_Ventas[[#This Row],[VENTA TOTAL]]&gt;=30,Tabla_Ventas[[#This Row],[TIPO DE CLIENTE/ Customer type]]="Member"),"PARTICIPA","NO PARTICIPA")</f>
        <v>PARTICIPA</v>
      </c>
    </row>
    <row r="987" spans="1:12" ht="19" x14ac:dyDescent="0.25">
      <c r="A987" s="45">
        <v>307042070</v>
      </c>
      <c r="B987" s="46" t="s">
        <v>19</v>
      </c>
      <c r="C987" s="46" t="s">
        <v>13</v>
      </c>
      <c r="D987" s="46" t="s">
        <v>22</v>
      </c>
      <c r="E987" s="49">
        <v>30.62</v>
      </c>
      <c r="F987" s="48">
        <v>1</v>
      </c>
      <c r="G987" s="78">
        <f t="shared" si="15"/>
        <v>30.62</v>
      </c>
      <c r="H987" s="120">
        <v>43501</v>
      </c>
      <c r="I987" s="50">
        <v>0.59305555555555556</v>
      </c>
      <c r="J987" s="46" t="s">
        <v>15</v>
      </c>
      <c r="K987" s="51">
        <v>4.0999999999999996</v>
      </c>
      <c r="L987" s="122" t="str">
        <f>IF(AND(Tabla_Ventas[[#This Row],[VENTA TOTAL]]&gt;=30,Tabla_Ventas[[#This Row],[TIPO DE CLIENTE/ Customer type]]="Member"),"PARTICIPA","NO PARTICIPA")</f>
        <v>PARTICIPA</v>
      </c>
    </row>
    <row r="988" spans="1:12" ht="19" x14ac:dyDescent="0.25">
      <c r="A988" s="45">
        <v>516776464</v>
      </c>
      <c r="B988" s="46" t="s">
        <v>16</v>
      </c>
      <c r="C988" s="46" t="s">
        <v>13</v>
      </c>
      <c r="D988" s="46" t="s">
        <v>20</v>
      </c>
      <c r="E988" s="49">
        <v>10.16</v>
      </c>
      <c r="F988" s="48">
        <v>5</v>
      </c>
      <c r="G988" s="78">
        <f t="shared" si="15"/>
        <v>50.8</v>
      </c>
      <c r="H988" s="120">
        <v>43520</v>
      </c>
      <c r="I988" s="50">
        <v>0.54722222222222217</v>
      </c>
      <c r="J988" s="46" t="s">
        <v>17</v>
      </c>
      <c r="K988" s="51">
        <v>4.0999999999999996</v>
      </c>
      <c r="L988" s="122" t="str">
        <f>IF(AND(Tabla_Ventas[[#This Row],[VENTA TOTAL]]&gt;=30,Tabla_Ventas[[#This Row],[TIPO DE CLIENTE/ Customer type]]="Member"),"PARTICIPA","NO PARTICIPA")</f>
        <v>PARTICIPA</v>
      </c>
    </row>
    <row r="989" spans="1:12" ht="19" x14ac:dyDescent="0.25">
      <c r="A989" s="45">
        <v>186438965</v>
      </c>
      <c r="B989" s="46" t="s">
        <v>19</v>
      </c>
      <c r="C989" s="46" t="s">
        <v>13</v>
      </c>
      <c r="D989" s="46" t="s">
        <v>25</v>
      </c>
      <c r="E989" s="49">
        <v>47.68</v>
      </c>
      <c r="F989" s="48">
        <v>2</v>
      </c>
      <c r="G989" s="78">
        <f t="shared" si="15"/>
        <v>95.36</v>
      </c>
      <c r="H989" s="120">
        <v>43520</v>
      </c>
      <c r="I989" s="50">
        <v>0.4236111111111111</v>
      </c>
      <c r="J989" s="46" t="s">
        <v>15</v>
      </c>
      <c r="K989" s="51">
        <v>4.0999999999999996</v>
      </c>
      <c r="L989" s="122" t="str">
        <f>IF(AND(Tabla_Ventas[[#This Row],[VENTA TOTAL]]&gt;=30,Tabla_Ventas[[#This Row],[TIPO DE CLIENTE/ Customer type]]="Member"),"PARTICIPA","NO PARTICIPA")</f>
        <v>PARTICIPA</v>
      </c>
    </row>
    <row r="990" spans="1:12" ht="19" x14ac:dyDescent="0.25">
      <c r="A990" s="45">
        <v>343759322</v>
      </c>
      <c r="B990" s="46" t="s">
        <v>12</v>
      </c>
      <c r="C990" s="46" t="s">
        <v>13</v>
      </c>
      <c r="D990" s="46" t="s">
        <v>14</v>
      </c>
      <c r="E990" s="49">
        <v>11.85</v>
      </c>
      <c r="F990" s="48">
        <v>8</v>
      </c>
      <c r="G990" s="78">
        <f t="shared" si="15"/>
        <v>94.8</v>
      </c>
      <c r="H990" s="120">
        <v>43474</v>
      </c>
      <c r="I990" s="50">
        <v>0.69027777777777777</v>
      </c>
      <c r="J990" s="46" t="s">
        <v>23</v>
      </c>
      <c r="K990" s="51">
        <v>4.0999999999999996</v>
      </c>
      <c r="L990" s="122" t="str">
        <f>IF(AND(Tabla_Ventas[[#This Row],[VENTA TOTAL]]&gt;=30,Tabla_Ventas[[#This Row],[TIPO DE CLIENTE/ Customer type]]="Member"),"PARTICIPA","NO PARTICIPA")</f>
        <v>PARTICIPA</v>
      </c>
    </row>
    <row r="991" spans="1:12" ht="19" x14ac:dyDescent="0.25">
      <c r="A991" s="45">
        <v>717964189</v>
      </c>
      <c r="B991" s="46" t="s">
        <v>16</v>
      </c>
      <c r="C991" s="46" t="s">
        <v>18</v>
      </c>
      <c r="D991" s="46" t="s">
        <v>21</v>
      </c>
      <c r="E991" s="49">
        <v>35.49</v>
      </c>
      <c r="F991" s="48">
        <v>6</v>
      </c>
      <c r="G991" s="78">
        <f t="shared" si="15"/>
        <v>212.94</v>
      </c>
      <c r="H991" s="120">
        <v>43498</v>
      </c>
      <c r="I991" s="50">
        <v>0.52777777777777779</v>
      </c>
      <c r="J991" s="46" t="s">
        <v>23</v>
      </c>
      <c r="K991" s="51">
        <v>4.0999999999999996</v>
      </c>
      <c r="L991" s="122" t="str">
        <f>IF(AND(Tabla_Ventas[[#This Row],[VENTA TOTAL]]&gt;=30,Tabla_Ventas[[#This Row],[TIPO DE CLIENTE/ Customer type]]="Member"),"PARTICIPA","NO PARTICIPA")</f>
        <v>NO PARTICIPA</v>
      </c>
    </row>
    <row r="992" spans="1:12" ht="19" x14ac:dyDescent="0.25">
      <c r="A992" s="45">
        <v>347562442</v>
      </c>
      <c r="B992" s="46" t="s">
        <v>19</v>
      </c>
      <c r="C992" s="46" t="s">
        <v>18</v>
      </c>
      <c r="D992" s="46" t="s">
        <v>25</v>
      </c>
      <c r="E992" s="49">
        <v>65.819999999999993</v>
      </c>
      <c r="F992" s="48">
        <v>1</v>
      </c>
      <c r="G992" s="78">
        <f t="shared" si="15"/>
        <v>65.819999999999993</v>
      </c>
      <c r="H992" s="120">
        <v>43518</v>
      </c>
      <c r="I992" s="50">
        <v>0.6479166666666667</v>
      </c>
      <c r="J992" s="46" t="s">
        <v>23</v>
      </c>
      <c r="K992" s="51">
        <v>4.0999999999999996</v>
      </c>
      <c r="L992" s="122" t="str">
        <f>IF(AND(Tabla_Ventas[[#This Row],[VENTA TOTAL]]&gt;=30,Tabla_Ventas[[#This Row],[TIPO DE CLIENTE/ Customer type]]="Member"),"PARTICIPA","NO PARTICIPA")</f>
        <v>NO PARTICIPA</v>
      </c>
    </row>
    <row r="993" spans="1:12" ht="19" x14ac:dyDescent="0.25">
      <c r="A993" s="45">
        <v>510956347</v>
      </c>
      <c r="B993" s="46" t="s">
        <v>16</v>
      </c>
      <c r="C993" s="46" t="s">
        <v>13</v>
      </c>
      <c r="D993" s="46" t="s">
        <v>24</v>
      </c>
      <c r="E993" s="47">
        <v>48.52</v>
      </c>
      <c r="F993" s="48">
        <v>3</v>
      </c>
      <c r="G993" s="78">
        <f t="shared" si="15"/>
        <v>145.56</v>
      </c>
      <c r="H993" s="120">
        <v>43529</v>
      </c>
      <c r="I993" s="50">
        <v>0.76180555555555562</v>
      </c>
      <c r="J993" s="46" t="s">
        <v>17</v>
      </c>
      <c r="K993" s="51">
        <v>4</v>
      </c>
      <c r="L993" s="122" t="str">
        <f>IF(AND(Tabla_Ventas[[#This Row],[VENTA TOTAL]]&gt;=30,Tabla_Ventas[[#This Row],[TIPO DE CLIENTE/ Customer type]]="Member"),"PARTICIPA","NO PARTICIPA")</f>
        <v>PARTICIPA</v>
      </c>
    </row>
    <row r="994" spans="1:12" ht="19" x14ac:dyDescent="0.25">
      <c r="A994" s="45">
        <v>730509884</v>
      </c>
      <c r="B994" s="46" t="s">
        <v>12</v>
      </c>
      <c r="C994" s="46" t="s">
        <v>18</v>
      </c>
      <c r="D994" s="46" t="s">
        <v>14</v>
      </c>
      <c r="E994" s="47">
        <v>83.06</v>
      </c>
      <c r="F994" s="48">
        <v>7</v>
      </c>
      <c r="G994" s="78">
        <f t="shared" si="15"/>
        <v>581.42000000000007</v>
      </c>
      <c r="H994" s="120">
        <v>43529</v>
      </c>
      <c r="I994" s="50">
        <v>0.60486111111111118</v>
      </c>
      <c r="J994" s="46" t="s">
        <v>17</v>
      </c>
      <c r="K994" s="51">
        <v>4</v>
      </c>
      <c r="L994" s="122" t="str">
        <f>IF(AND(Tabla_Ventas[[#This Row],[VENTA TOTAL]]&gt;=30,Tabla_Ventas[[#This Row],[TIPO DE CLIENTE/ Customer type]]="Member"),"PARTICIPA","NO PARTICIPA")</f>
        <v>NO PARTICIPA</v>
      </c>
    </row>
    <row r="995" spans="1:12" ht="19" x14ac:dyDescent="0.25">
      <c r="A995" s="45">
        <v>836825858</v>
      </c>
      <c r="B995" s="46" t="s">
        <v>16</v>
      </c>
      <c r="C995" s="46" t="s">
        <v>13</v>
      </c>
      <c r="D995" s="46" t="s">
        <v>20</v>
      </c>
      <c r="E995" s="47">
        <v>69.37</v>
      </c>
      <c r="F995" s="48">
        <v>9</v>
      </c>
      <c r="G995" s="78">
        <f t="shared" si="15"/>
        <v>624.33000000000004</v>
      </c>
      <c r="H995" s="120">
        <v>43491</v>
      </c>
      <c r="I995" s="50">
        <v>0.80138888888888893</v>
      </c>
      <c r="J995" s="46" t="s">
        <v>17</v>
      </c>
      <c r="K995" s="51">
        <v>4</v>
      </c>
      <c r="L995" s="122" t="str">
        <f>IF(AND(Tabla_Ventas[[#This Row],[VENTA TOTAL]]&gt;=30,Tabla_Ventas[[#This Row],[TIPO DE CLIENTE/ Customer type]]="Member"),"PARTICIPA","NO PARTICIPA")</f>
        <v>PARTICIPA</v>
      </c>
    </row>
    <row r="996" spans="1:12" ht="19" x14ac:dyDescent="0.25">
      <c r="A996" s="45">
        <v>730618757</v>
      </c>
      <c r="B996" s="46" t="s">
        <v>16</v>
      </c>
      <c r="C996" s="46" t="s">
        <v>13</v>
      </c>
      <c r="D996" s="46" t="s">
        <v>20</v>
      </c>
      <c r="E996" s="47">
        <v>51.13</v>
      </c>
      <c r="F996" s="48">
        <v>4</v>
      </c>
      <c r="G996" s="78">
        <f t="shared" si="15"/>
        <v>204.52</v>
      </c>
      <c r="H996" s="120">
        <v>43490</v>
      </c>
      <c r="I996" s="50">
        <v>0.42430555555555555</v>
      </c>
      <c r="J996" s="46" t="s">
        <v>15</v>
      </c>
      <c r="K996" s="51">
        <v>4</v>
      </c>
      <c r="L996" s="122" t="str">
        <f>IF(AND(Tabla_Ventas[[#This Row],[VENTA TOTAL]]&gt;=30,Tabla_Ventas[[#This Row],[TIPO DE CLIENTE/ Customer type]]="Member"),"PARTICIPA","NO PARTICIPA")</f>
        <v>PARTICIPA</v>
      </c>
    </row>
    <row r="997" spans="1:12" ht="19" x14ac:dyDescent="0.25">
      <c r="A997" s="45">
        <v>182698360</v>
      </c>
      <c r="B997" s="46" t="s">
        <v>16</v>
      </c>
      <c r="C997" s="46" t="s">
        <v>18</v>
      </c>
      <c r="D997" s="46" t="s">
        <v>21</v>
      </c>
      <c r="E997" s="47">
        <v>23.65</v>
      </c>
      <c r="F997" s="48">
        <v>4</v>
      </c>
      <c r="G997" s="78">
        <f t="shared" si="15"/>
        <v>94.6</v>
      </c>
      <c r="H997" s="120">
        <v>43495</v>
      </c>
      <c r="I997" s="50">
        <v>0.56388888888888888</v>
      </c>
      <c r="J997" s="46" t="s">
        <v>15</v>
      </c>
      <c r="K997" s="51">
        <v>4</v>
      </c>
      <c r="L997" s="122" t="str">
        <f>IF(AND(Tabla_Ventas[[#This Row],[VENTA TOTAL]]&gt;=30,Tabla_Ventas[[#This Row],[TIPO DE CLIENTE/ Customer type]]="Member"),"PARTICIPA","NO PARTICIPA")</f>
        <v>NO PARTICIPA</v>
      </c>
    </row>
    <row r="998" spans="1:12" ht="19" x14ac:dyDescent="0.25">
      <c r="A998" s="45">
        <v>828466863</v>
      </c>
      <c r="B998" s="46" t="s">
        <v>19</v>
      </c>
      <c r="C998" s="46" t="s">
        <v>13</v>
      </c>
      <c r="D998" s="46" t="s">
        <v>24</v>
      </c>
      <c r="E998" s="49">
        <v>98.53</v>
      </c>
      <c r="F998" s="48">
        <v>6</v>
      </c>
      <c r="G998" s="78">
        <f t="shared" si="15"/>
        <v>591.18000000000006</v>
      </c>
      <c r="H998" s="120">
        <v>43488</v>
      </c>
      <c r="I998" s="50">
        <v>0.47361111111111115</v>
      </c>
      <c r="J998" s="46" t="s">
        <v>15</v>
      </c>
      <c r="K998" s="51">
        <v>4</v>
      </c>
      <c r="L998" s="122" t="str">
        <f>IF(AND(Tabla_Ventas[[#This Row],[VENTA TOTAL]]&gt;=30,Tabla_Ventas[[#This Row],[TIPO DE CLIENTE/ Customer type]]="Member"),"PARTICIPA","NO PARTICIPA")</f>
        <v>PARTICIPA</v>
      </c>
    </row>
    <row r="999" spans="1:12" ht="19" x14ac:dyDescent="0.25">
      <c r="A999" s="45">
        <v>131158856</v>
      </c>
      <c r="B999" s="46" t="s">
        <v>16</v>
      </c>
      <c r="C999" s="46" t="s">
        <v>13</v>
      </c>
      <c r="D999" s="46" t="s">
        <v>24</v>
      </c>
      <c r="E999" s="49">
        <v>72.52</v>
      </c>
      <c r="F999" s="48">
        <v>8</v>
      </c>
      <c r="G999" s="78">
        <f t="shared" si="15"/>
        <v>580.16</v>
      </c>
      <c r="H999" s="120">
        <v>43554</v>
      </c>
      <c r="I999" s="50">
        <v>0.80972222222222223</v>
      </c>
      <c r="J999" s="46" t="s">
        <v>15</v>
      </c>
      <c r="K999" s="51">
        <v>4</v>
      </c>
      <c r="L999" s="122" t="str">
        <f>IF(AND(Tabla_Ventas[[#This Row],[VENTA TOTAL]]&gt;=30,Tabla_Ventas[[#This Row],[TIPO DE CLIENTE/ Customer type]]="Member"),"PARTICIPA","NO PARTICIPA")</f>
        <v>PARTICIPA</v>
      </c>
    </row>
    <row r="1000" spans="1:12" ht="19" x14ac:dyDescent="0.25">
      <c r="A1000" s="45">
        <v>576314774</v>
      </c>
      <c r="B1000" s="46" t="s">
        <v>12</v>
      </c>
      <c r="C1000" s="46" t="s">
        <v>18</v>
      </c>
      <c r="D1000" s="46" t="s">
        <v>20</v>
      </c>
      <c r="E1000" s="49">
        <v>73.41</v>
      </c>
      <c r="F1000" s="48">
        <v>3</v>
      </c>
      <c r="G1000" s="78">
        <f t="shared" si="15"/>
        <v>220.23</v>
      </c>
      <c r="H1000" s="120">
        <v>43499</v>
      </c>
      <c r="I1000" s="50">
        <v>0.54861111111111105</v>
      </c>
      <c r="J1000" s="46" t="s">
        <v>17</v>
      </c>
      <c r="K1000" s="51">
        <v>4</v>
      </c>
      <c r="L1000" s="122" t="str">
        <f>IF(AND(Tabla_Ventas[[#This Row],[VENTA TOTAL]]&gt;=30,Tabla_Ventas[[#This Row],[TIPO DE CLIENTE/ Customer type]]="Member"),"PARTICIPA","NO PARTICIPA")</f>
        <v>NO PARTICIPA</v>
      </c>
    </row>
    <row r="1001" spans="1:12" ht="19" x14ac:dyDescent="0.25">
      <c r="A1001" s="45">
        <v>651965970</v>
      </c>
      <c r="B1001" s="46" t="s">
        <v>19</v>
      </c>
      <c r="C1001" s="46" t="s">
        <v>18</v>
      </c>
      <c r="D1001" s="46" t="s">
        <v>22</v>
      </c>
      <c r="E1001" s="49">
        <v>46.41</v>
      </c>
      <c r="F1001" s="48">
        <v>1</v>
      </c>
      <c r="G1001" s="78">
        <f t="shared" si="15"/>
        <v>46.41</v>
      </c>
      <c r="H1001" s="120">
        <v>43527</v>
      </c>
      <c r="I1001" s="50">
        <v>0.83750000000000002</v>
      </c>
      <c r="J1001" s="46" t="s">
        <v>15</v>
      </c>
      <c r="K1001" s="51">
        <v>4</v>
      </c>
      <c r="L1001" s="122" t="str">
        <f>IF(AND(Tabla_Ventas[[#This Row],[VENTA TOTAL]]&gt;=30,Tabla_Ventas[[#This Row],[TIPO DE CLIENTE/ Customer type]]="Member"),"PARTICIPA","NO PARTICIPA")</f>
        <v>NO PARTICIPA</v>
      </c>
    </row>
    <row r="1002" spans="1:12" ht="19" x14ac:dyDescent="0.25">
      <c r="A1002" s="45">
        <v>845946841</v>
      </c>
      <c r="B1002" s="46" t="s">
        <v>16</v>
      </c>
      <c r="C1002" s="46" t="s">
        <v>13</v>
      </c>
      <c r="D1002" s="46" t="s">
        <v>24</v>
      </c>
      <c r="E1002" s="49">
        <v>72.88</v>
      </c>
      <c r="F1002" s="48">
        <v>9</v>
      </c>
      <c r="G1002" s="78">
        <f t="shared" si="15"/>
        <v>655.92</v>
      </c>
      <c r="H1002" s="120">
        <v>43473</v>
      </c>
      <c r="I1002" s="50">
        <v>0.81805555555555554</v>
      </c>
      <c r="J1002" s="46" t="s">
        <v>23</v>
      </c>
      <c r="K1002" s="51">
        <v>4</v>
      </c>
      <c r="L1002" s="122" t="str">
        <f>IF(AND(Tabla_Ventas[[#This Row],[VENTA TOTAL]]&gt;=30,Tabla_Ventas[[#This Row],[TIPO DE CLIENTE/ Customer type]]="Member"),"PARTICIPA","NO PARTICIPA")</f>
        <v>PARTICIPA</v>
      </c>
    </row>
    <row r="1003" spans="1:12" ht="19" x14ac:dyDescent="0.25">
      <c r="A1003" s="52">
        <v>885560389</v>
      </c>
      <c r="B1003" s="53" t="s">
        <v>16</v>
      </c>
      <c r="C1003" s="53" t="s">
        <v>13</v>
      </c>
      <c r="D1003" s="53" t="s">
        <v>22</v>
      </c>
      <c r="E1003" s="54">
        <v>52.35</v>
      </c>
      <c r="F1003" s="55">
        <v>1</v>
      </c>
      <c r="G1003" s="79">
        <f t="shared" si="15"/>
        <v>52.35</v>
      </c>
      <c r="H1003" s="121">
        <v>43508</v>
      </c>
      <c r="I1003" s="56">
        <v>0.74236111111111114</v>
      </c>
      <c r="J1003" s="53" t="s">
        <v>23</v>
      </c>
      <c r="K1003" s="57">
        <v>4</v>
      </c>
      <c r="L1003" s="122" t="str">
        <f>IF(AND(Tabla_Ventas[[#This Row],[VENTA TOTAL]]&gt;=30,Tabla_Ventas[[#This Row],[TIPO DE CLIENTE/ Customer type]]="Member"),"PARTICIPA","NO PARTICIPA")</f>
        <v>PARTICIPA</v>
      </c>
    </row>
  </sheetData>
  <dataConsolidate/>
  <mergeCells count="1">
    <mergeCell ref="A2:L2"/>
  </mergeCells>
  <conditionalFormatting sqref="K3:K1048576 K1">
    <cfRule type="colorScale" priority="9">
      <colorScale>
        <cfvo type="min"/>
        <cfvo type="percentile" val="50"/>
        <cfvo type="max"/>
        <color rgb="FFF8696B"/>
        <color rgb="FFFFEB84"/>
        <color rgb="FF63BE7B"/>
      </colorScale>
    </cfRule>
  </conditionalFormatting>
  <conditionalFormatting sqref="L1:L1048576">
    <cfRule type="containsText" dxfId="112" priority="4" operator="containsText" text="NO PARTICIPA">
      <formula>NOT(ISERROR(SEARCH("NO PARTICIPA",L1)))</formula>
    </cfRule>
  </conditionalFormatting>
  <dataValidations count="2">
    <dataValidation type="whole" allowBlank="1" showInputMessage="1" showErrorMessage="1" errorTitle="CAMBIAR NUMERO" error="Solo permite una escala del 4 al 10" sqref="K4:K1003" xr:uid="{D38A4AC4-F7F3-4E47-8C9D-83884F52BF74}">
      <formula1>4</formula1>
      <formula2>10</formula2>
    </dataValidation>
    <dataValidation type="list" allowBlank="1" showInputMessage="1" showErrorMessage="1" sqref="J1 J3 J1004:J1048576 B1:D1 B1004:D1048576 B3:C3" xr:uid="{DDE7DDEF-8147-5A43-A5DE-7179B0506B38}">
      <formula1>#REF!</formula1>
    </dataValidation>
  </dataValidations>
  <pageMargins left="0.75" right="0.75" top="1" bottom="1" header="0.5" footer="0.5"/>
  <headerFooter alignWithMargins="0"/>
  <ignoredErrors>
    <ignoredError sqref="B3:C3 J3 K102 K9:K21 D3:D1003 K46" listDataValidation="1"/>
  </ignoredErrors>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90674C81-F3B4-C84F-8625-11C222E64AF6}">
          <x14:formula1>
            <xm:f>Auxiliar!$R$12:$R$13</xm:f>
          </x14:formula1>
          <xm:sqref>C4:C1003</xm:sqref>
        </x14:dataValidation>
        <x14:dataValidation type="list" allowBlank="1" showInputMessage="1" showErrorMessage="1" xr:uid="{0C084915-1A2E-DE40-97FE-C0FAE921EA54}">
          <x14:formula1>
            <xm:f>Auxiliar!$Q$12:$Q$14</xm:f>
          </x14:formula1>
          <xm:sqref>B4:B1003</xm:sqref>
        </x14:dataValidation>
        <x14:dataValidation type="list" allowBlank="1" showInputMessage="1" showErrorMessage="1" xr:uid="{038344C6-8A78-F440-9312-08486167F0EB}">
          <x14:formula1>
            <xm:f>Auxiliar!$T$12:$T$14</xm:f>
          </x14:formula1>
          <xm:sqref>J4:J1003</xm:sqref>
        </x14:dataValidation>
        <x14:dataValidation type="list" allowBlank="1" showInputMessage="1" showErrorMessage="1" xr:uid="{D5F9D938-C435-D242-A194-78FCC9AC8580}">
          <x14:formula1>
            <xm:f>Auxiliar!$S$12:$S$17</xm:f>
          </x14:formula1>
          <xm:sqref>D3:D1003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9B4AC-DA9C-504F-A3F3-68C46FBBB982}">
  <sheetPr codeName="Hoja2"/>
  <dimension ref="A2:H465"/>
  <sheetViews>
    <sheetView zoomScale="80" zoomScaleNormal="80" workbookViewId="0">
      <pane ySplit="5" topLeftCell="A230" activePane="bottomLeft" state="frozen"/>
      <selection activeCell="E8" sqref="E8"/>
      <selection pane="bottomLeft" activeCell="E8" sqref="E8"/>
    </sheetView>
  </sheetViews>
  <sheetFormatPr baseColWidth="10" defaultRowHeight="16" x14ac:dyDescent="0.2"/>
  <cols>
    <col min="1" max="1" width="37.83203125" style="30" bestFit="1" customWidth="1"/>
    <col min="2" max="2" width="13.33203125" style="31" bestFit="1" customWidth="1"/>
    <col min="3" max="3" width="10.83203125" style="30"/>
    <col min="4" max="4" width="32.83203125" style="30" bestFit="1" customWidth="1"/>
    <col min="5" max="5" width="13.33203125" style="30" bestFit="1" customWidth="1"/>
    <col min="6" max="6" width="10.83203125" style="30"/>
    <col min="7" max="7" width="39" style="30" bestFit="1" customWidth="1"/>
    <col min="8" max="8" width="13.33203125" style="30" bestFit="1" customWidth="1"/>
    <col min="9" max="16384" width="10.83203125" style="30"/>
  </cols>
  <sheetData>
    <row r="2" spans="1:8" ht="24" x14ac:dyDescent="0.3">
      <c r="A2" s="106" t="s">
        <v>387</v>
      </c>
    </row>
    <row r="3" spans="1:8" x14ac:dyDescent="0.2">
      <c r="B3" s="30"/>
    </row>
    <row r="4" spans="1:8" ht="21" x14ac:dyDescent="0.25">
      <c r="A4" s="115" t="s">
        <v>40</v>
      </c>
      <c r="B4" s="116"/>
      <c r="D4" s="115" t="s">
        <v>37</v>
      </c>
      <c r="E4" s="116"/>
      <c r="G4" s="115" t="s">
        <v>830</v>
      </c>
      <c r="H4" s="116"/>
    </row>
    <row r="5" spans="1:8" ht="22" thickBot="1" x14ac:dyDescent="0.3">
      <c r="A5" s="115" t="s">
        <v>76</v>
      </c>
      <c r="B5" s="117">
        <f>SUM(B7:B315)</f>
        <v>4779548</v>
      </c>
      <c r="D5" s="115" t="s">
        <v>76</v>
      </c>
      <c r="E5" s="117">
        <f>SUM(E6:E182)</f>
        <v>5392096</v>
      </c>
      <c r="G5" s="115" t="s">
        <v>76</v>
      </c>
      <c r="H5" s="117">
        <f>SUM(H6:H268)</f>
        <v>2185100</v>
      </c>
    </row>
    <row r="6" spans="1:8" ht="17" thickTop="1" x14ac:dyDescent="0.2">
      <c r="A6" s="118"/>
      <c r="B6" s="118"/>
    </row>
    <row r="7" spans="1:8" ht="19" x14ac:dyDescent="0.2">
      <c r="A7" s="37" t="s">
        <v>73</v>
      </c>
      <c r="B7" s="38"/>
      <c r="D7" s="37" t="s">
        <v>73</v>
      </c>
      <c r="E7" s="38"/>
      <c r="G7" s="37" t="s">
        <v>73</v>
      </c>
      <c r="H7" s="38"/>
    </row>
    <row r="8" spans="1:8" x14ac:dyDescent="0.2">
      <c r="A8" s="36" t="s">
        <v>74</v>
      </c>
      <c r="B8" s="36" t="s">
        <v>75</v>
      </c>
      <c r="D8" s="36" t="s">
        <v>74</v>
      </c>
      <c r="E8" s="36" t="s">
        <v>75</v>
      </c>
      <c r="G8" s="36" t="s">
        <v>74</v>
      </c>
      <c r="H8" s="36" t="s">
        <v>75</v>
      </c>
    </row>
    <row r="9" spans="1:8" x14ac:dyDescent="0.2">
      <c r="A9" s="32" t="s">
        <v>77</v>
      </c>
      <c r="B9" s="33">
        <v>8624</v>
      </c>
      <c r="D9" s="32" t="s">
        <v>388</v>
      </c>
      <c r="E9" s="33">
        <v>51</v>
      </c>
      <c r="G9" s="32" t="s">
        <v>566</v>
      </c>
      <c r="H9" s="33">
        <v>1115</v>
      </c>
    </row>
    <row r="10" spans="1:8" x14ac:dyDescent="0.2">
      <c r="A10" s="32" t="s">
        <v>78</v>
      </c>
      <c r="B10" s="33">
        <v>220</v>
      </c>
      <c r="D10" s="32" t="s">
        <v>389</v>
      </c>
      <c r="E10" s="33">
        <v>2479</v>
      </c>
      <c r="G10" s="32" t="s">
        <v>567</v>
      </c>
      <c r="H10" s="33">
        <v>1237</v>
      </c>
    </row>
    <row r="11" spans="1:8" x14ac:dyDescent="0.2">
      <c r="A11" s="32" t="s">
        <v>79</v>
      </c>
      <c r="B11" s="33">
        <v>2155</v>
      </c>
      <c r="D11" s="32" t="s">
        <v>390</v>
      </c>
      <c r="E11" s="33">
        <v>175</v>
      </c>
      <c r="G11" s="32" t="s">
        <v>568</v>
      </c>
      <c r="H11" s="33">
        <v>2279</v>
      </c>
    </row>
    <row r="12" spans="1:8" x14ac:dyDescent="0.2">
      <c r="A12" s="32" t="s">
        <v>80</v>
      </c>
      <c r="B12" s="33">
        <v>8470</v>
      </c>
      <c r="D12" s="32" t="s">
        <v>391</v>
      </c>
      <c r="E12" s="33">
        <v>4973</v>
      </c>
      <c r="G12" s="32" t="s">
        <v>569</v>
      </c>
      <c r="H12" s="33">
        <v>4155</v>
      </c>
    </row>
    <row r="13" spans="1:8" ht="17" thickBot="1" x14ac:dyDescent="0.25">
      <c r="A13" s="34" t="s">
        <v>81</v>
      </c>
      <c r="B13" s="35">
        <v>278</v>
      </c>
      <c r="D13" s="34" t="s">
        <v>392</v>
      </c>
      <c r="E13" s="35">
        <v>176434</v>
      </c>
      <c r="G13" s="34" t="s">
        <v>570</v>
      </c>
      <c r="H13" s="35">
        <v>197</v>
      </c>
    </row>
    <row r="14" spans="1:8" ht="17" thickTop="1" x14ac:dyDescent="0.2">
      <c r="A14" s="32" t="s">
        <v>82</v>
      </c>
      <c r="B14" s="33">
        <v>6133</v>
      </c>
      <c r="D14" s="32" t="s">
        <v>393</v>
      </c>
      <c r="E14" s="33">
        <v>92090</v>
      </c>
      <c r="G14" s="32" t="s">
        <v>571</v>
      </c>
      <c r="H14" s="33">
        <v>27733</v>
      </c>
    </row>
    <row r="15" spans="1:8" x14ac:dyDescent="0.2">
      <c r="A15" s="32" t="s">
        <v>83</v>
      </c>
      <c r="B15" s="33">
        <v>12835</v>
      </c>
      <c r="D15" s="32" t="s">
        <v>394</v>
      </c>
      <c r="E15" s="33">
        <v>153100</v>
      </c>
      <c r="G15" s="32" t="s">
        <v>572</v>
      </c>
      <c r="H15" s="33">
        <v>5951</v>
      </c>
    </row>
    <row r="16" spans="1:8" x14ac:dyDescent="0.2">
      <c r="A16" s="32" t="s">
        <v>84</v>
      </c>
      <c r="B16" s="33">
        <v>6665</v>
      </c>
      <c r="D16" s="32" t="s">
        <v>395</v>
      </c>
      <c r="E16" s="33">
        <v>1538</v>
      </c>
      <c r="G16" s="32" t="s">
        <v>573</v>
      </c>
      <c r="H16" s="33">
        <v>12652</v>
      </c>
    </row>
    <row r="17" spans="1:8" x14ac:dyDescent="0.2">
      <c r="A17" s="32" t="s">
        <v>85</v>
      </c>
      <c r="B17" s="33">
        <v>192</v>
      </c>
      <c r="D17" s="32" t="s">
        <v>396</v>
      </c>
      <c r="E17" s="33">
        <v>15870</v>
      </c>
      <c r="G17" s="32" t="s">
        <v>574</v>
      </c>
      <c r="H17" s="33">
        <v>3431</v>
      </c>
    </row>
    <row r="18" spans="1:8" ht="17" thickBot="1" x14ac:dyDescent="0.25">
      <c r="A18" s="34" t="s">
        <v>86</v>
      </c>
      <c r="B18" s="35">
        <v>9896</v>
      </c>
      <c r="D18" s="34" t="s">
        <v>397</v>
      </c>
      <c r="E18" s="35">
        <v>8514</v>
      </c>
      <c r="G18" s="34" t="s">
        <v>575</v>
      </c>
      <c r="H18" s="35">
        <v>3499</v>
      </c>
    </row>
    <row r="19" spans="1:8" ht="17" thickTop="1" x14ac:dyDescent="0.2">
      <c r="A19" s="32" t="s">
        <v>87</v>
      </c>
      <c r="B19" s="33">
        <v>4520</v>
      </c>
      <c r="D19" s="32" t="s">
        <v>398</v>
      </c>
      <c r="E19" s="33">
        <v>310</v>
      </c>
      <c r="G19" s="32" t="s">
        <v>576</v>
      </c>
      <c r="H19" s="33">
        <v>717</v>
      </c>
    </row>
    <row r="20" spans="1:8" x14ac:dyDescent="0.2">
      <c r="A20" s="32" t="s">
        <v>88</v>
      </c>
      <c r="B20" s="33">
        <v>1893</v>
      </c>
      <c r="D20" s="32" t="s">
        <v>399</v>
      </c>
      <c r="E20" s="33">
        <v>608</v>
      </c>
      <c r="G20" s="32" t="s">
        <v>577</v>
      </c>
      <c r="H20" s="33">
        <v>9268</v>
      </c>
    </row>
    <row r="21" spans="1:8" x14ac:dyDescent="0.2">
      <c r="A21" s="32" t="s">
        <v>89</v>
      </c>
      <c r="B21" s="33">
        <v>2019</v>
      </c>
      <c r="D21" s="32" t="s">
        <v>400</v>
      </c>
      <c r="E21" s="33">
        <v>40797</v>
      </c>
      <c r="G21" s="32" t="s">
        <v>578</v>
      </c>
      <c r="H21" s="33">
        <v>934</v>
      </c>
    </row>
    <row r="22" spans="1:8" x14ac:dyDescent="0.2">
      <c r="A22" s="32" t="s">
        <v>90</v>
      </c>
      <c r="B22" s="33">
        <v>1262</v>
      </c>
      <c r="D22" s="32" t="s">
        <v>401</v>
      </c>
      <c r="E22" s="33">
        <v>33432</v>
      </c>
      <c r="G22" s="32" t="s">
        <v>579</v>
      </c>
      <c r="H22" s="33">
        <v>18201</v>
      </c>
    </row>
    <row r="23" spans="1:8" ht="17" thickBot="1" x14ac:dyDescent="0.25">
      <c r="A23" s="34" t="s">
        <v>91</v>
      </c>
      <c r="B23" s="35">
        <v>205836</v>
      </c>
      <c r="D23" s="34" t="s">
        <v>402</v>
      </c>
      <c r="E23" s="35">
        <v>5541</v>
      </c>
      <c r="G23" s="34" t="s">
        <v>580</v>
      </c>
      <c r="H23" s="35">
        <v>3076</v>
      </c>
    </row>
    <row r="24" spans="1:8" ht="17" thickTop="1" x14ac:dyDescent="0.2">
      <c r="A24" s="32" t="s">
        <v>92</v>
      </c>
      <c r="B24" s="33">
        <v>14714</v>
      </c>
      <c r="D24" s="32" t="s">
        <v>403</v>
      </c>
      <c r="E24" s="33">
        <v>98</v>
      </c>
      <c r="G24" s="32" t="s">
        <v>581</v>
      </c>
      <c r="H24" s="33">
        <v>1419</v>
      </c>
    </row>
    <row r="25" spans="1:8" x14ac:dyDescent="0.2">
      <c r="A25" s="32" t="s">
        <v>93</v>
      </c>
      <c r="B25" s="33">
        <v>2115</v>
      </c>
      <c r="D25" s="32" t="s">
        <v>404</v>
      </c>
      <c r="E25" s="33">
        <v>1050</v>
      </c>
      <c r="G25" s="32" t="s">
        <v>582</v>
      </c>
      <c r="H25" s="33">
        <v>7557</v>
      </c>
    </row>
    <row r="26" spans="1:8" x14ac:dyDescent="0.2">
      <c r="A26" s="32" t="s">
        <v>94</v>
      </c>
      <c r="B26" s="33">
        <v>3213</v>
      </c>
      <c r="D26" s="32" t="s">
        <v>405</v>
      </c>
      <c r="E26" s="33">
        <v>3733</v>
      </c>
      <c r="G26" s="32" t="s">
        <v>583</v>
      </c>
      <c r="H26" s="33">
        <v>812</v>
      </c>
    </row>
    <row r="27" spans="1:8" x14ac:dyDescent="0.2">
      <c r="A27" s="32" t="s">
        <v>95</v>
      </c>
      <c r="B27" s="33">
        <v>3195</v>
      </c>
      <c r="D27" s="32" t="s">
        <v>406</v>
      </c>
      <c r="E27" s="33">
        <v>1152</v>
      </c>
      <c r="G27" s="32" t="s">
        <v>584</v>
      </c>
      <c r="H27" s="33">
        <v>10547</v>
      </c>
    </row>
    <row r="28" spans="1:8" ht="17" thickBot="1" x14ac:dyDescent="0.25">
      <c r="A28" s="34" t="s">
        <v>96</v>
      </c>
      <c r="B28" s="35">
        <v>26428</v>
      </c>
      <c r="D28" s="34" t="s">
        <v>407</v>
      </c>
      <c r="E28" s="35">
        <v>410</v>
      </c>
      <c r="G28" s="34" t="s">
        <v>585</v>
      </c>
      <c r="H28" s="35">
        <v>4344</v>
      </c>
    </row>
    <row r="29" spans="1:8" ht="17" thickTop="1" x14ac:dyDescent="0.2">
      <c r="A29" s="32" t="s">
        <v>19</v>
      </c>
      <c r="B29" s="33">
        <v>1503884</v>
      </c>
      <c r="D29" s="32" t="s">
        <v>408</v>
      </c>
      <c r="E29" s="33">
        <v>144</v>
      </c>
      <c r="G29" s="32" t="s">
        <v>586</v>
      </c>
      <c r="H29" s="33">
        <v>24800</v>
      </c>
    </row>
    <row r="30" spans="1:8" x14ac:dyDescent="0.2">
      <c r="A30" s="32" t="s">
        <v>97</v>
      </c>
      <c r="B30" s="33">
        <v>4697</v>
      </c>
      <c r="D30" s="32" t="s">
        <v>409</v>
      </c>
      <c r="E30" s="33">
        <v>27443</v>
      </c>
      <c r="G30" s="32" t="s">
        <v>587</v>
      </c>
      <c r="H30" s="33">
        <v>18622</v>
      </c>
    </row>
    <row r="31" spans="1:8" x14ac:dyDescent="0.2">
      <c r="A31" s="32" t="s">
        <v>98</v>
      </c>
      <c r="B31" s="33">
        <v>90</v>
      </c>
      <c r="D31" s="32" t="s">
        <v>410</v>
      </c>
      <c r="E31" s="33">
        <v>3704</v>
      </c>
      <c r="G31" s="32" t="s">
        <v>588</v>
      </c>
      <c r="H31" s="33">
        <v>490</v>
      </c>
    </row>
    <row r="32" spans="1:8" x14ac:dyDescent="0.2">
      <c r="A32" s="32" t="s">
        <v>99</v>
      </c>
      <c r="B32" s="33">
        <v>14678</v>
      </c>
      <c r="D32" s="32" t="s">
        <v>411</v>
      </c>
      <c r="E32" s="33">
        <v>177</v>
      </c>
      <c r="G32" s="32" t="s">
        <v>589</v>
      </c>
      <c r="H32" s="33">
        <v>2623</v>
      </c>
    </row>
    <row r="33" spans="1:8" ht="17" thickBot="1" x14ac:dyDescent="0.25">
      <c r="A33" s="34" t="s">
        <v>100</v>
      </c>
      <c r="B33" s="35">
        <v>5914</v>
      </c>
      <c r="D33" s="34" t="s">
        <v>412</v>
      </c>
      <c r="E33" s="35">
        <v>468</v>
      </c>
      <c r="G33" s="34" t="s">
        <v>590</v>
      </c>
      <c r="H33" s="35">
        <v>1353</v>
      </c>
    </row>
    <row r="34" spans="1:8" ht="17" thickTop="1" x14ac:dyDescent="0.2">
      <c r="A34" s="32" t="s">
        <v>101</v>
      </c>
      <c r="B34" s="33">
        <v>499</v>
      </c>
      <c r="D34" s="32" t="s">
        <v>413</v>
      </c>
      <c r="E34" s="33">
        <v>6037</v>
      </c>
      <c r="G34" s="32" t="s">
        <v>591</v>
      </c>
      <c r="H34" s="33">
        <v>1228</v>
      </c>
    </row>
    <row r="35" spans="1:8" x14ac:dyDescent="0.2">
      <c r="A35" s="32" t="s">
        <v>102</v>
      </c>
      <c r="B35" s="33">
        <v>1234</v>
      </c>
      <c r="D35" s="32" t="s">
        <v>414</v>
      </c>
      <c r="E35" s="33">
        <v>1599</v>
      </c>
      <c r="G35" s="32" t="s">
        <v>592</v>
      </c>
      <c r="H35" s="33">
        <v>357</v>
      </c>
    </row>
    <row r="36" spans="1:8" x14ac:dyDescent="0.2">
      <c r="A36" s="32" t="s">
        <v>103</v>
      </c>
      <c r="B36" s="33">
        <v>186</v>
      </c>
      <c r="D36" s="32" t="s">
        <v>415</v>
      </c>
      <c r="E36" s="33">
        <v>1557</v>
      </c>
      <c r="G36" s="32" t="s">
        <v>593</v>
      </c>
      <c r="H36" s="33">
        <v>424</v>
      </c>
    </row>
    <row r="37" spans="1:8" x14ac:dyDescent="0.2">
      <c r="A37" s="32" t="s">
        <v>104</v>
      </c>
      <c r="B37" s="33">
        <v>570</v>
      </c>
      <c r="D37" s="32" t="s">
        <v>416</v>
      </c>
      <c r="E37" s="33">
        <v>504</v>
      </c>
      <c r="G37" s="32" t="s">
        <v>594</v>
      </c>
      <c r="H37" s="33">
        <v>24563</v>
      </c>
    </row>
    <row r="38" spans="1:8" ht="17" thickBot="1" x14ac:dyDescent="0.25">
      <c r="A38" s="34" t="s">
        <v>105</v>
      </c>
      <c r="B38" s="35">
        <v>3763</v>
      </c>
      <c r="D38" s="34" t="s">
        <v>417</v>
      </c>
      <c r="E38" s="35">
        <v>1837</v>
      </c>
      <c r="G38" s="34" t="s">
        <v>595</v>
      </c>
      <c r="H38" s="35">
        <v>947</v>
      </c>
    </row>
    <row r="39" spans="1:8" ht="17" thickTop="1" x14ac:dyDescent="0.2">
      <c r="A39" s="32" t="s">
        <v>106</v>
      </c>
      <c r="B39" s="33">
        <v>658</v>
      </c>
      <c r="D39" s="32" t="s">
        <v>418</v>
      </c>
      <c r="E39" s="33">
        <v>2305</v>
      </c>
      <c r="G39" s="32" t="s">
        <v>596</v>
      </c>
      <c r="H39" s="33">
        <v>11947</v>
      </c>
    </row>
    <row r="40" spans="1:8" x14ac:dyDescent="0.2">
      <c r="A40" s="32" t="s">
        <v>107</v>
      </c>
      <c r="B40" s="33">
        <v>5219</v>
      </c>
      <c r="D40" s="32" t="s">
        <v>419</v>
      </c>
      <c r="E40" s="33">
        <v>3066</v>
      </c>
      <c r="G40" s="32" t="s">
        <v>597</v>
      </c>
      <c r="H40" s="33">
        <v>5931</v>
      </c>
    </row>
    <row r="41" spans="1:8" x14ac:dyDescent="0.2">
      <c r="A41" s="32" t="s">
        <v>108</v>
      </c>
      <c r="B41" s="33">
        <v>2975</v>
      </c>
      <c r="D41" s="32" t="s">
        <v>420</v>
      </c>
      <c r="E41" s="33">
        <v>2993</v>
      </c>
      <c r="G41" s="32" t="s">
        <v>598</v>
      </c>
      <c r="H41" s="33">
        <v>247</v>
      </c>
    </row>
    <row r="42" spans="1:8" x14ac:dyDescent="0.2">
      <c r="A42" s="32" t="s">
        <v>109</v>
      </c>
      <c r="B42" s="33">
        <v>788</v>
      </c>
      <c r="D42" s="32" t="s">
        <v>421</v>
      </c>
      <c r="E42" s="33">
        <v>446</v>
      </c>
      <c r="G42" s="32" t="s">
        <v>599</v>
      </c>
      <c r="H42" s="33">
        <v>1709</v>
      </c>
    </row>
    <row r="43" spans="1:8" ht="17" thickBot="1" x14ac:dyDescent="0.25">
      <c r="A43" s="34" t="s">
        <v>110</v>
      </c>
      <c r="B43" s="35">
        <v>13848</v>
      </c>
      <c r="D43" s="34" t="s">
        <v>422</v>
      </c>
      <c r="E43" s="35">
        <v>1167</v>
      </c>
      <c r="G43" s="34" t="s">
        <v>600</v>
      </c>
      <c r="H43" s="35">
        <v>7070</v>
      </c>
    </row>
    <row r="44" spans="1:8" ht="17" thickTop="1" x14ac:dyDescent="0.2">
      <c r="A44" s="32" t="s">
        <v>111</v>
      </c>
      <c r="B44" s="33">
        <v>1974</v>
      </c>
      <c r="D44" s="32" t="s">
        <v>423</v>
      </c>
      <c r="E44" s="33">
        <v>1127</v>
      </c>
      <c r="G44" s="32" t="s">
        <v>601</v>
      </c>
      <c r="H44" s="33">
        <v>911</v>
      </c>
    </row>
    <row r="45" spans="1:8" x14ac:dyDescent="0.2">
      <c r="A45" s="32" t="s">
        <v>112</v>
      </c>
      <c r="B45" s="33">
        <v>13694</v>
      </c>
      <c r="D45" s="32" t="s">
        <v>424</v>
      </c>
      <c r="E45" s="33">
        <v>1805</v>
      </c>
      <c r="G45" s="32" t="s">
        <v>602</v>
      </c>
      <c r="H45" s="33">
        <v>1421</v>
      </c>
    </row>
    <row r="46" spans="1:8" x14ac:dyDescent="0.2">
      <c r="A46" s="32" t="s">
        <v>113</v>
      </c>
      <c r="B46" s="33">
        <v>1998</v>
      </c>
      <c r="D46" s="32" t="s">
        <v>425</v>
      </c>
      <c r="E46" s="33">
        <v>5535</v>
      </c>
      <c r="G46" s="32" t="s">
        <v>603</v>
      </c>
      <c r="H46" s="33">
        <v>39668</v>
      </c>
    </row>
    <row r="47" spans="1:8" x14ac:dyDescent="0.2">
      <c r="A47" s="32" t="s">
        <v>114</v>
      </c>
      <c r="B47" s="33">
        <v>1338</v>
      </c>
      <c r="D47" s="32" t="s">
        <v>426</v>
      </c>
      <c r="E47" s="33">
        <v>108</v>
      </c>
      <c r="G47" s="32" t="s">
        <v>604</v>
      </c>
      <c r="H47" s="33">
        <v>372</v>
      </c>
    </row>
    <row r="48" spans="1:8" ht="17" thickBot="1" x14ac:dyDescent="0.25">
      <c r="A48" s="34" t="s">
        <v>115</v>
      </c>
      <c r="B48" s="35">
        <v>197</v>
      </c>
      <c r="D48" s="34" t="s">
        <v>427</v>
      </c>
      <c r="E48" s="35">
        <v>1458</v>
      </c>
      <c r="G48" s="34" t="s">
        <v>605</v>
      </c>
      <c r="H48" s="35">
        <v>2742</v>
      </c>
    </row>
    <row r="49" spans="1:8" ht="17" thickTop="1" x14ac:dyDescent="0.2">
      <c r="A49" s="32" t="s">
        <v>116</v>
      </c>
      <c r="B49" s="33">
        <v>294</v>
      </c>
      <c r="D49" s="32" t="s">
        <v>428</v>
      </c>
      <c r="E49" s="33">
        <v>4362</v>
      </c>
      <c r="G49" s="32" t="s">
        <v>606</v>
      </c>
      <c r="H49" s="33">
        <v>1518</v>
      </c>
    </row>
    <row r="50" spans="1:8" x14ac:dyDescent="0.2">
      <c r="A50" s="32" t="s">
        <v>117</v>
      </c>
      <c r="B50" s="33">
        <v>10778</v>
      </c>
      <c r="D50" s="32" t="s">
        <v>429</v>
      </c>
      <c r="E50" s="33">
        <v>15013</v>
      </c>
      <c r="G50" s="32" t="s">
        <v>607</v>
      </c>
      <c r="H50" s="33">
        <v>383</v>
      </c>
    </row>
    <row r="51" spans="1:8" x14ac:dyDescent="0.2">
      <c r="A51" s="32" t="s">
        <v>118</v>
      </c>
      <c r="B51" s="33">
        <v>12912</v>
      </c>
      <c r="D51" s="32" t="s">
        <v>430</v>
      </c>
      <c r="E51" s="33">
        <v>3365</v>
      </c>
      <c r="G51" s="32" t="s">
        <v>608</v>
      </c>
      <c r="H51" s="33">
        <v>1263</v>
      </c>
    </row>
    <row r="52" spans="1:8" x14ac:dyDescent="0.2">
      <c r="A52" s="32" t="s">
        <v>119</v>
      </c>
      <c r="B52" s="33">
        <v>1968</v>
      </c>
      <c r="D52" s="32" t="s">
        <v>431</v>
      </c>
      <c r="E52" s="33">
        <v>4695</v>
      </c>
      <c r="G52" s="32" t="s">
        <v>609</v>
      </c>
      <c r="H52" s="33">
        <v>5497</v>
      </c>
    </row>
    <row r="53" spans="1:8" ht="17" thickBot="1" x14ac:dyDescent="0.25">
      <c r="A53" s="34" t="s">
        <v>120</v>
      </c>
      <c r="B53" s="35">
        <v>2158</v>
      </c>
      <c r="D53" s="34" t="s">
        <v>432</v>
      </c>
      <c r="E53" s="35">
        <v>47001</v>
      </c>
      <c r="G53" s="34" t="s">
        <v>610</v>
      </c>
      <c r="H53" s="35">
        <v>1207</v>
      </c>
    </row>
    <row r="54" spans="1:8" ht="17" thickTop="1" x14ac:dyDescent="0.2">
      <c r="A54" s="32" t="s">
        <v>121</v>
      </c>
      <c r="B54" s="33">
        <v>4881</v>
      </c>
      <c r="D54" s="32" t="s">
        <v>433</v>
      </c>
      <c r="E54" s="33">
        <v>6009</v>
      </c>
      <c r="G54" s="32" t="s">
        <v>611</v>
      </c>
      <c r="H54" s="33">
        <v>1602</v>
      </c>
    </row>
    <row r="55" spans="1:8" x14ac:dyDescent="0.2">
      <c r="A55" s="32" t="s">
        <v>122</v>
      </c>
      <c r="B55" s="33">
        <v>66</v>
      </c>
      <c r="D55" s="32" t="s">
        <v>434</v>
      </c>
      <c r="E55" s="33">
        <v>1006</v>
      </c>
      <c r="G55" s="32" t="s">
        <v>612</v>
      </c>
      <c r="H55" s="33">
        <v>709</v>
      </c>
    </row>
    <row r="56" spans="1:8" x14ac:dyDescent="0.2">
      <c r="A56" s="32" t="s">
        <v>123</v>
      </c>
      <c r="B56" s="33">
        <v>12792</v>
      </c>
      <c r="D56" s="32" t="s">
        <v>435</v>
      </c>
      <c r="E56" s="33">
        <v>35181</v>
      </c>
      <c r="G56" s="32" t="s">
        <v>613</v>
      </c>
      <c r="H56" s="33">
        <v>3912</v>
      </c>
    </row>
    <row r="57" spans="1:8" x14ac:dyDescent="0.2">
      <c r="A57" s="32" t="s">
        <v>124</v>
      </c>
      <c r="B57" s="33">
        <v>5401</v>
      </c>
      <c r="D57" s="32" t="s">
        <v>436</v>
      </c>
      <c r="E57" s="33">
        <v>5385</v>
      </c>
      <c r="G57" s="32" t="s">
        <v>614</v>
      </c>
      <c r="H57" s="33">
        <v>405</v>
      </c>
    </row>
    <row r="58" spans="1:8" ht="17" thickBot="1" x14ac:dyDescent="0.25">
      <c r="A58" s="34" t="s">
        <v>125</v>
      </c>
      <c r="B58" s="35">
        <v>674</v>
      </c>
      <c r="D58" s="34" t="s">
        <v>437</v>
      </c>
      <c r="E58" s="35">
        <v>444</v>
      </c>
      <c r="G58" s="34" t="s">
        <v>615</v>
      </c>
      <c r="H58" s="35">
        <v>181</v>
      </c>
    </row>
    <row r="59" spans="1:8" ht="17" thickTop="1" x14ac:dyDescent="0.2">
      <c r="A59" s="32" t="s">
        <v>126</v>
      </c>
      <c r="B59" s="33">
        <v>1528</v>
      </c>
      <c r="D59" s="32" t="s">
        <v>438</v>
      </c>
      <c r="E59" s="33">
        <v>77884</v>
      </c>
      <c r="G59" s="32" t="s">
        <v>616</v>
      </c>
      <c r="H59" s="33">
        <v>9116</v>
      </c>
    </row>
    <row r="60" spans="1:8" x14ac:dyDescent="0.2">
      <c r="A60" s="32" t="s">
        <v>127</v>
      </c>
      <c r="B60" s="33">
        <v>58</v>
      </c>
      <c r="D60" s="32" t="s">
        <v>439</v>
      </c>
      <c r="E60" s="33">
        <v>2006</v>
      </c>
      <c r="G60" s="32" t="s">
        <v>617</v>
      </c>
      <c r="H60" s="33">
        <v>645</v>
      </c>
    </row>
    <row r="61" spans="1:8" x14ac:dyDescent="0.2">
      <c r="A61" s="32" t="s">
        <v>128</v>
      </c>
      <c r="B61" s="33">
        <v>170</v>
      </c>
      <c r="D61" s="32" t="s">
        <v>440</v>
      </c>
      <c r="E61" s="33">
        <v>4755</v>
      </c>
      <c r="G61" s="32" t="s">
        <v>618</v>
      </c>
      <c r="H61" s="33">
        <v>597</v>
      </c>
    </row>
    <row r="62" spans="1:8" x14ac:dyDescent="0.2">
      <c r="A62" s="32" t="s">
        <v>129</v>
      </c>
      <c r="B62" s="33">
        <v>119</v>
      </c>
      <c r="D62" s="32" t="s">
        <v>441</v>
      </c>
      <c r="E62" s="33">
        <v>10967</v>
      </c>
      <c r="G62" s="32" t="s">
        <v>619</v>
      </c>
      <c r="H62" s="33">
        <v>13425</v>
      </c>
    </row>
    <row r="63" spans="1:8" ht="17" thickBot="1" x14ac:dyDescent="0.25">
      <c r="A63" s="34" t="s">
        <v>130</v>
      </c>
      <c r="B63" s="35">
        <v>18255</v>
      </c>
      <c r="D63" s="34" t="s">
        <v>442</v>
      </c>
      <c r="E63" s="35">
        <v>1050</v>
      </c>
      <c r="G63" s="34" t="s">
        <v>620</v>
      </c>
      <c r="H63" s="35">
        <v>1217</v>
      </c>
    </row>
    <row r="64" spans="1:8" ht="17" thickTop="1" x14ac:dyDescent="0.2">
      <c r="A64" s="32" t="s">
        <v>131</v>
      </c>
      <c r="B64" s="33">
        <v>2913</v>
      </c>
      <c r="D64" s="32" t="s">
        <v>443</v>
      </c>
      <c r="E64" s="33">
        <v>913</v>
      </c>
      <c r="G64" s="32" t="s">
        <v>621</v>
      </c>
      <c r="H64" s="33">
        <v>236</v>
      </c>
    </row>
    <row r="65" spans="1:8" x14ac:dyDescent="0.2">
      <c r="A65" s="32" t="s">
        <v>132</v>
      </c>
      <c r="B65" s="33">
        <v>9128</v>
      </c>
      <c r="D65" s="32" t="s">
        <v>444</v>
      </c>
      <c r="E65" s="33">
        <v>745</v>
      </c>
      <c r="G65" s="32" t="s">
        <v>622</v>
      </c>
      <c r="H65" s="33">
        <v>509</v>
      </c>
    </row>
    <row r="66" spans="1:8" x14ac:dyDescent="0.2">
      <c r="A66" s="32" t="s">
        <v>133</v>
      </c>
      <c r="B66" s="33">
        <v>406</v>
      </c>
      <c r="D66" s="32" t="s">
        <v>445</v>
      </c>
      <c r="E66" s="33">
        <v>182705</v>
      </c>
      <c r="G66" s="32" t="s">
        <v>623</v>
      </c>
      <c r="H66" s="33">
        <v>12050</v>
      </c>
    </row>
    <row r="67" spans="1:8" x14ac:dyDescent="0.2">
      <c r="A67" s="32" t="s">
        <v>134</v>
      </c>
      <c r="B67" s="33">
        <v>46428</v>
      </c>
      <c r="D67" s="32" t="s">
        <v>446</v>
      </c>
      <c r="E67" s="33">
        <v>4813</v>
      </c>
      <c r="G67" s="32" t="s">
        <v>624</v>
      </c>
      <c r="H67" s="33">
        <v>1692</v>
      </c>
    </row>
    <row r="68" spans="1:8" ht="17" thickBot="1" x14ac:dyDescent="0.25">
      <c r="A68" s="34" t="s">
        <v>135</v>
      </c>
      <c r="B68" s="35">
        <v>1488</v>
      </c>
      <c r="D68" s="34" t="s">
        <v>447</v>
      </c>
      <c r="E68" s="35">
        <v>1484</v>
      </c>
      <c r="G68" s="34" t="s">
        <v>625</v>
      </c>
      <c r="H68" s="35">
        <v>1898</v>
      </c>
    </row>
    <row r="69" spans="1:8" ht="17" thickTop="1" x14ac:dyDescent="0.2">
      <c r="A69" s="32" t="s">
        <v>136</v>
      </c>
      <c r="B69" s="33">
        <v>222</v>
      </c>
      <c r="D69" s="32" t="s">
        <v>448</v>
      </c>
      <c r="E69" s="33">
        <v>25559</v>
      </c>
      <c r="G69" s="32" t="s">
        <v>626</v>
      </c>
      <c r="H69" s="33">
        <v>221</v>
      </c>
    </row>
    <row r="70" spans="1:8" x14ac:dyDescent="0.2">
      <c r="A70" s="32" t="s">
        <v>137</v>
      </c>
      <c r="B70" s="33">
        <v>383</v>
      </c>
      <c r="D70" s="32" t="s">
        <v>449</v>
      </c>
      <c r="E70" s="33">
        <v>320</v>
      </c>
      <c r="G70" s="32" t="s">
        <v>627</v>
      </c>
      <c r="H70" s="33">
        <v>5572</v>
      </c>
    </row>
    <row r="71" spans="1:8" x14ac:dyDescent="0.2">
      <c r="A71" s="32" t="s">
        <v>138</v>
      </c>
      <c r="B71" s="33">
        <v>966</v>
      </c>
      <c r="D71" s="32" t="s">
        <v>450</v>
      </c>
      <c r="E71" s="33">
        <v>283</v>
      </c>
      <c r="G71" s="32" t="s">
        <v>628</v>
      </c>
      <c r="H71" s="33">
        <v>1930</v>
      </c>
    </row>
    <row r="72" spans="1:8" x14ac:dyDescent="0.2">
      <c r="A72" s="32" t="s">
        <v>139</v>
      </c>
      <c r="B72" s="33">
        <v>601</v>
      </c>
      <c r="D72" s="32" t="s">
        <v>451</v>
      </c>
      <c r="E72" s="33">
        <v>115</v>
      </c>
      <c r="G72" s="32" t="s">
        <v>629</v>
      </c>
      <c r="H72" s="33">
        <v>576</v>
      </c>
    </row>
    <row r="73" spans="1:8" ht="17" thickBot="1" x14ac:dyDescent="0.25">
      <c r="A73" s="34" t="s">
        <v>140</v>
      </c>
      <c r="B73" s="35">
        <v>430</v>
      </c>
      <c r="D73" s="34" t="s">
        <v>452</v>
      </c>
      <c r="E73" s="35">
        <v>151479</v>
      </c>
      <c r="G73" s="34" t="s">
        <v>630</v>
      </c>
      <c r="H73" s="35">
        <v>1680</v>
      </c>
    </row>
    <row r="74" spans="1:8" ht="17" thickTop="1" x14ac:dyDescent="0.2">
      <c r="A74" s="32" t="s">
        <v>141</v>
      </c>
      <c r="B74" s="33">
        <v>2031</v>
      </c>
      <c r="D74" s="32" t="s">
        <v>453</v>
      </c>
      <c r="E74" s="33">
        <v>5968</v>
      </c>
      <c r="G74" s="32" t="s">
        <v>631</v>
      </c>
      <c r="H74" s="33">
        <v>1322</v>
      </c>
    </row>
    <row r="75" spans="1:8" x14ac:dyDescent="0.2">
      <c r="A75" s="32" t="s">
        <v>142</v>
      </c>
      <c r="B75" s="33">
        <v>1433</v>
      </c>
      <c r="D75" s="32" t="s">
        <v>454</v>
      </c>
      <c r="E75" s="33">
        <v>3533</v>
      </c>
      <c r="G75" s="32" t="s">
        <v>632</v>
      </c>
      <c r="H75" s="33">
        <v>1828</v>
      </c>
    </row>
    <row r="76" spans="1:8" x14ac:dyDescent="0.2">
      <c r="A76" s="32" t="s">
        <v>143</v>
      </c>
      <c r="B76" s="33">
        <v>1195</v>
      </c>
      <c r="D76" s="32" t="s">
        <v>455</v>
      </c>
      <c r="E76" s="33">
        <v>10546</v>
      </c>
      <c r="G76" s="32" t="s">
        <v>633</v>
      </c>
      <c r="H76" s="33">
        <v>309</v>
      </c>
    </row>
    <row r="77" spans="1:8" x14ac:dyDescent="0.2">
      <c r="A77" s="32" t="s">
        <v>144</v>
      </c>
      <c r="B77" s="33">
        <v>5822</v>
      </c>
      <c r="D77" s="32" t="s">
        <v>456</v>
      </c>
      <c r="E77" s="33">
        <v>83</v>
      </c>
      <c r="G77" s="32" t="s">
        <v>634</v>
      </c>
      <c r="H77" s="33">
        <v>193</v>
      </c>
    </row>
    <row r="78" spans="1:8" ht="17" thickBot="1" x14ac:dyDescent="0.25">
      <c r="A78" s="34" t="s">
        <v>145</v>
      </c>
      <c r="B78" s="35">
        <v>1371</v>
      </c>
      <c r="D78" s="34" t="s">
        <v>457</v>
      </c>
      <c r="E78" s="35">
        <v>125</v>
      </c>
      <c r="G78" s="34" t="s">
        <v>635</v>
      </c>
      <c r="H78" s="35">
        <v>15238</v>
      </c>
    </row>
    <row r="79" spans="1:8" ht="17" thickTop="1" x14ac:dyDescent="0.2">
      <c r="A79" s="32" t="s">
        <v>146</v>
      </c>
      <c r="B79" s="33">
        <v>53343</v>
      </c>
      <c r="D79" s="32" t="s">
        <v>458</v>
      </c>
      <c r="E79" s="33">
        <v>105</v>
      </c>
      <c r="G79" s="32" t="s">
        <v>636</v>
      </c>
      <c r="H79" s="33">
        <v>662</v>
      </c>
    </row>
    <row r="80" spans="1:8" x14ac:dyDescent="0.2">
      <c r="A80" s="32" t="s">
        <v>147</v>
      </c>
      <c r="B80" s="33">
        <v>6200</v>
      </c>
      <c r="D80" s="32" t="s">
        <v>459</v>
      </c>
      <c r="E80" s="33">
        <v>6175</v>
      </c>
      <c r="G80" s="32" t="s">
        <v>637</v>
      </c>
      <c r="H80" s="33">
        <v>4457</v>
      </c>
    </row>
    <row r="81" spans="1:8" x14ac:dyDescent="0.2">
      <c r="A81" s="32" t="s">
        <v>148</v>
      </c>
      <c r="B81" s="33">
        <v>2429</v>
      </c>
      <c r="D81" s="32" t="s">
        <v>460</v>
      </c>
      <c r="E81" s="33">
        <v>10219</v>
      </c>
      <c r="G81" s="32" t="s">
        <v>638</v>
      </c>
      <c r="H81" s="33">
        <v>1447</v>
      </c>
    </row>
    <row r="82" spans="1:8" x14ac:dyDescent="0.2">
      <c r="A82" s="32" t="s">
        <v>149</v>
      </c>
      <c r="B82" s="33">
        <v>268</v>
      </c>
      <c r="D82" s="32" t="s">
        <v>461</v>
      </c>
      <c r="E82" s="33">
        <v>173584</v>
      </c>
      <c r="G82" s="32" t="s">
        <v>639</v>
      </c>
      <c r="H82" s="33">
        <v>2231</v>
      </c>
    </row>
    <row r="83" spans="1:8" ht="17" thickBot="1" x14ac:dyDescent="0.25">
      <c r="A83" s="34" t="s">
        <v>150</v>
      </c>
      <c r="B83" s="35">
        <v>278</v>
      </c>
      <c r="D83" s="34" t="s">
        <v>462</v>
      </c>
      <c r="E83" s="35">
        <v>3295</v>
      </c>
      <c r="G83" s="34" t="s">
        <v>640</v>
      </c>
      <c r="H83" s="35">
        <v>197</v>
      </c>
    </row>
    <row r="84" spans="1:8" ht="17" thickTop="1" x14ac:dyDescent="0.2">
      <c r="A84" s="32" t="s">
        <v>151</v>
      </c>
      <c r="B84" s="33">
        <v>9610</v>
      </c>
      <c r="D84" s="32" t="s">
        <v>463</v>
      </c>
      <c r="E84" s="33">
        <v>438</v>
      </c>
      <c r="G84" s="32" t="s">
        <v>641</v>
      </c>
      <c r="H84" s="33">
        <v>817</v>
      </c>
    </row>
    <row r="85" spans="1:8" x14ac:dyDescent="0.2">
      <c r="A85" s="32" t="s">
        <v>152</v>
      </c>
      <c r="B85" s="33">
        <v>79979</v>
      </c>
      <c r="D85" s="32" t="s">
        <v>464</v>
      </c>
      <c r="E85" s="33">
        <v>688</v>
      </c>
      <c r="G85" s="32" t="s">
        <v>642</v>
      </c>
      <c r="H85" s="33">
        <v>9090</v>
      </c>
    </row>
    <row r="86" spans="1:8" x14ac:dyDescent="0.2">
      <c r="A86" s="32" t="s">
        <v>153</v>
      </c>
      <c r="B86" s="33">
        <v>7326</v>
      </c>
      <c r="D86" s="32" t="s">
        <v>465</v>
      </c>
      <c r="E86" s="33">
        <v>27</v>
      </c>
      <c r="G86" s="32" t="s">
        <v>643</v>
      </c>
      <c r="H86" s="33">
        <v>35330</v>
      </c>
    </row>
    <row r="87" spans="1:8" x14ac:dyDescent="0.2">
      <c r="A87" s="32" t="s">
        <v>154</v>
      </c>
      <c r="B87" s="33">
        <v>3098</v>
      </c>
      <c r="D87" s="32" t="s">
        <v>16</v>
      </c>
      <c r="E87" s="33">
        <v>2938723</v>
      </c>
      <c r="G87" s="32" t="s">
        <v>644</v>
      </c>
      <c r="H87" s="33">
        <v>399</v>
      </c>
    </row>
    <row r="88" spans="1:8" ht="17" thickBot="1" x14ac:dyDescent="0.25">
      <c r="A88" s="34" t="s">
        <v>155</v>
      </c>
      <c r="B88" s="35">
        <v>18290</v>
      </c>
      <c r="D88" s="34" t="s">
        <v>466</v>
      </c>
      <c r="E88" s="35">
        <v>50683</v>
      </c>
      <c r="G88" s="34" t="s">
        <v>645</v>
      </c>
      <c r="H88" s="35">
        <v>1361</v>
      </c>
    </row>
    <row r="89" spans="1:8" ht="17" thickTop="1" x14ac:dyDescent="0.2">
      <c r="A89" s="32" t="s">
        <v>156</v>
      </c>
      <c r="B89" s="33">
        <v>45127</v>
      </c>
      <c r="D89" s="32" t="s">
        <v>467</v>
      </c>
      <c r="E89" s="33">
        <v>4547</v>
      </c>
      <c r="G89" s="32" t="s">
        <v>646</v>
      </c>
      <c r="H89" s="33">
        <v>12710</v>
      </c>
    </row>
    <row r="90" spans="1:8" x14ac:dyDescent="0.2">
      <c r="A90" s="32" t="s">
        <v>157</v>
      </c>
      <c r="B90" s="33">
        <v>267</v>
      </c>
      <c r="D90" s="32" t="s">
        <v>468</v>
      </c>
      <c r="E90" s="33">
        <v>8267</v>
      </c>
      <c r="G90" s="32" t="s">
        <v>647</v>
      </c>
      <c r="H90" s="33">
        <v>3007</v>
      </c>
    </row>
    <row r="91" spans="1:8" x14ac:dyDescent="0.2">
      <c r="A91" s="32" t="s">
        <v>158</v>
      </c>
      <c r="B91" s="33">
        <v>403</v>
      </c>
      <c r="D91" s="32" t="s">
        <v>469</v>
      </c>
      <c r="E91" s="33">
        <v>17195</v>
      </c>
      <c r="G91" s="32" t="s">
        <v>648</v>
      </c>
      <c r="H91" s="33">
        <v>19508</v>
      </c>
    </row>
    <row r="92" spans="1:8" x14ac:dyDescent="0.2">
      <c r="A92" s="32" t="s">
        <v>159</v>
      </c>
      <c r="B92" s="33">
        <v>873</v>
      </c>
      <c r="D92" s="32" t="s">
        <v>470</v>
      </c>
      <c r="E92" s="33">
        <v>3928</v>
      </c>
      <c r="G92" s="32" t="s">
        <v>649</v>
      </c>
      <c r="H92" s="33">
        <v>2001</v>
      </c>
    </row>
    <row r="93" spans="1:8" ht="17" thickBot="1" x14ac:dyDescent="0.25">
      <c r="A93" s="34" t="s">
        <v>160</v>
      </c>
      <c r="B93" s="35">
        <v>49</v>
      </c>
      <c r="D93" s="34" t="s">
        <v>471</v>
      </c>
      <c r="E93" s="35">
        <v>4152</v>
      </c>
      <c r="G93" s="34" t="s">
        <v>650</v>
      </c>
      <c r="H93" s="35">
        <v>14213</v>
      </c>
    </row>
    <row r="94" spans="1:8" ht="17" thickTop="1" x14ac:dyDescent="0.2">
      <c r="A94" s="32" t="s">
        <v>161</v>
      </c>
      <c r="B94" s="33">
        <v>806</v>
      </c>
      <c r="D94" s="32" t="s">
        <v>472</v>
      </c>
      <c r="E94" s="33">
        <v>3752</v>
      </c>
      <c r="G94" s="32" t="s">
        <v>651</v>
      </c>
      <c r="H94" s="33">
        <v>83</v>
      </c>
    </row>
    <row r="95" spans="1:8" x14ac:dyDescent="0.2">
      <c r="A95" s="32" t="s">
        <v>162</v>
      </c>
      <c r="B95" s="33">
        <v>352</v>
      </c>
      <c r="D95" s="32" t="s">
        <v>473</v>
      </c>
      <c r="E95" s="33">
        <v>305</v>
      </c>
      <c r="G95" s="32" t="s">
        <v>652</v>
      </c>
      <c r="H95" s="33">
        <v>161</v>
      </c>
    </row>
    <row r="96" spans="1:8" x14ac:dyDescent="0.2">
      <c r="A96" s="32" t="s">
        <v>163</v>
      </c>
      <c r="B96" s="33">
        <v>1693</v>
      </c>
      <c r="D96" s="32" t="s">
        <v>474</v>
      </c>
      <c r="E96" s="33">
        <v>3336</v>
      </c>
      <c r="G96" s="32" t="s">
        <v>653</v>
      </c>
      <c r="H96" s="33">
        <v>273</v>
      </c>
    </row>
    <row r="97" spans="1:8" x14ac:dyDescent="0.2">
      <c r="A97" s="32" t="s">
        <v>164</v>
      </c>
      <c r="B97" s="33">
        <v>1067</v>
      </c>
      <c r="D97" s="32" t="s">
        <v>475</v>
      </c>
      <c r="E97" s="33">
        <v>6739</v>
      </c>
      <c r="G97" s="32" t="s">
        <v>654</v>
      </c>
      <c r="H97" s="33">
        <v>2268</v>
      </c>
    </row>
    <row r="98" spans="1:8" ht="17" thickBot="1" x14ac:dyDescent="0.25">
      <c r="A98" s="34" t="s">
        <v>165</v>
      </c>
      <c r="B98" s="35">
        <v>1262</v>
      </c>
      <c r="D98" s="34" t="s">
        <v>476</v>
      </c>
      <c r="E98" s="35">
        <v>5823</v>
      </c>
      <c r="G98" s="34" t="s">
        <v>655</v>
      </c>
      <c r="H98" s="35">
        <v>2186</v>
      </c>
    </row>
    <row r="99" spans="1:8" ht="17" thickTop="1" x14ac:dyDescent="0.2">
      <c r="A99" s="32" t="s">
        <v>166</v>
      </c>
      <c r="B99" s="33">
        <v>13007</v>
      </c>
      <c r="D99" s="32" t="s">
        <v>477</v>
      </c>
      <c r="E99" s="33">
        <v>196524</v>
      </c>
      <c r="G99" s="32" t="s">
        <v>656</v>
      </c>
      <c r="H99" s="33">
        <v>139</v>
      </c>
    </row>
    <row r="100" spans="1:8" x14ac:dyDescent="0.2">
      <c r="A100" s="32" t="s">
        <v>167</v>
      </c>
      <c r="B100" s="33">
        <v>148</v>
      </c>
      <c r="D100" s="32" t="s">
        <v>478</v>
      </c>
      <c r="E100" s="33">
        <v>1953</v>
      </c>
      <c r="G100" s="32" t="s">
        <v>657</v>
      </c>
      <c r="H100" s="33">
        <v>302</v>
      </c>
    </row>
    <row r="101" spans="1:8" x14ac:dyDescent="0.2">
      <c r="A101" s="32" t="s">
        <v>168</v>
      </c>
      <c r="B101" s="33">
        <v>186</v>
      </c>
      <c r="D101" s="32" t="s">
        <v>479</v>
      </c>
      <c r="E101" s="33">
        <v>581</v>
      </c>
      <c r="G101" s="32" t="s">
        <v>658</v>
      </c>
      <c r="H101" s="33">
        <v>2300</v>
      </c>
    </row>
    <row r="102" spans="1:8" x14ac:dyDescent="0.2">
      <c r="A102" s="32" t="s">
        <v>169</v>
      </c>
      <c r="B102" s="33">
        <v>12037</v>
      </c>
      <c r="D102" s="32" t="s">
        <v>480</v>
      </c>
      <c r="E102" s="33">
        <v>1266</v>
      </c>
      <c r="G102" s="32" t="s">
        <v>659</v>
      </c>
      <c r="H102" s="33">
        <v>20990</v>
      </c>
    </row>
    <row r="103" spans="1:8" ht="17" thickBot="1" x14ac:dyDescent="0.25">
      <c r="A103" s="34" t="s">
        <v>170</v>
      </c>
      <c r="B103" s="35">
        <v>39815</v>
      </c>
      <c r="D103" s="34" t="s">
        <v>481</v>
      </c>
      <c r="E103" s="35">
        <v>14823</v>
      </c>
      <c r="G103" s="34" t="s">
        <v>660</v>
      </c>
      <c r="H103" s="35">
        <v>820</v>
      </c>
    </row>
    <row r="104" spans="1:8" ht="17" thickTop="1" x14ac:dyDescent="0.2">
      <c r="A104" s="32" t="s">
        <v>171</v>
      </c>
      <c r="B104" s="33">
        <v>4571</v>
      </c>
      <c r="D104" s="32" t="s">
        <v>482</v>
      </c>
      <c r="E104" s="33">
        <v>110</v>
      </c>
      <c r="G104" s="32" t="s">
        <v>661</v>
      </c>
      <c r="H104" s="33">
        <v>279</v>
      </c>
    </row>
    <row r="105" spans="1:8" x14ac:dyDescent="0.2">
      <c r="A105" s="32" t="s">
        <v>172</v>
      </c>
      <c r="B105" s="33">
        <v>4858</v>
      </c>
      <c r="D105" s="32" t="s">
        <v>483</v>
      </c>
      <c r="E105" s="33">
        <v>1838</v>
      </c>
      <c r="G105" s="32" t="s">
        <v>662</v>
      </c>
      <c r="H105" s="33">
        <v>2519</v>
      </c>
    </row>
    <row r="106" spans="1:8" x14ac:dyDescent="0.2">
      <c r="A106" s="32" t="s">
        <v>173</v>
      </c>
      <c r="B106" s="33">
        <v>28</v>
      </c>
      <c r="D106" s="32" t="s">
        <v>484</v>
      </c>
      <c r="E106" s="33">
        <v>4073</v>
      </c>
      <c r="G106" s="32" t="s">
        <v>663</v>
      </c>
      <c r="H106" s="33">
        <v>2046</v>
      </c>
    </row>
    <row r="107" spans="1:8" x14ac:dyDescent="0.2">
      <c r="A107" s="32" t="s">
        <v>174</v>
      </c>
      <c r="B107" s="33">
        <v>1432</v>
      </c>
      <c r="D107" s="32" t="s">
        <v>485</v>
      </c>
      <c r="E107" s="33">
        <v>153</v>
      </c>
      <c r="G107" s="32" t="s">
        <v>664</v>
      </c>
      <c r="H107" s="33">
        <v>547</v>
      </c>
    </row>
    <row r="108" spans="1:8" ht="17" thickBot="1" x14ac:dyDescent="0.25">
      <c r="A108" s="34" t="s">
        <v>175</v>
      </c>
      <c r="B108" s="35">
        <v>67</v>
      </c>
      <c r="D108" s="34" t="s">
        <v>486</v>
      </c>
      <c r="E108" s="35">
        <v>658</v>
      </c>
      <c r="G108" s="34" t="s">
        <v>665</v>
      </c>
      <c r="H108" s="35">
        <v>7002</v>
      </c>
    </row>
    <row r="109" spans="1:8" ht="17" thickTop="1" x14ac:dyDescent="0.2">
      <c r="A109" s="32" t="s">
        <v>176</v>
      </c>
      <c r="B109" s="33">
        <v>53105</v>
      </c>
      <c r="D109" s="32" t="s">
        <v>487</v>
      </c>
      <c r="E109" s="33">
        <v>6287</v>
      </c>
      <c r="G109" s="32" t="s">
        <v>666</v>
      </c>
      <c r="H109" s="33">
        <v>10577</v>
      </c>
    </row>
    <row r="110" spans="1:8" x14ac:dyDescent="0.2">
      <c r="A110" s="32" t="s">
        <v>177</v>
      </c>
      <c r="B110" s="33">
        <v>830</v>
      </c>
      <c r="D110" s="32" t="s">
        <v>488</v>
      </c>
      <c r="E110" s="33">
        <v>79213</v>
      </c>
      <c r="G110" s="32" t="s">
        <v>667</v>
      </c>
      <c r="H110" s="33">
        <v>751</v>
      </c>
    </row>
    <row r="111" spans="1:8" x14ac:dyDescent="0.2">
      <c r="A111" s="32" t="s">
        <v>178</v>
      </c>
      <c r="B111" s="33">
        <v>940</v>
      </c>
      <c r="D111" s="32" t="s">
        <v>489</v>
      </c>
      <c r="E111" s="33">
        <v>354</v>
      </c>
      <c r="G111" s="32" t="s">
        <v>668</v>
      </c>
      <c r="H111" s="33">
        <v>967</v>
      </c>
    </row>
    <row r="112" spans="1:8" x14ac:dyDescent="0.2">
      <c r="A112" s="32" t="s">
        <v>179</v>
      </c>
      <c r="B112" s="33">
        <v>1955</v>
      </c>
      <c r="D112" s="32" t="s">
        <v>490</v>
      </c>
      <c r="E112" s="33">
        <v>1670</v>
      </c>
      <c r="G112" s="32" t="s">
        <v>669</v>
      </c>
      <c r="H112" s="33">
        <v>3029</v>
      </c>
    </row>
    <row r="113" spans="1:8" ht="17" thickBot="1" x14ac:dyDescent="0.25">
      <c r="A113" s="34" t="s">
        <v>180</v>
      </c>
      <c r="B113" s="35">
        <v>239019</v>
      </c>
      <c r="D113" s="34" t="s">
        <v>491</v>
      </c>
      <c r="E113" s="35">
        <v>1581</v>
      </c>
      <c r="G113" s="34" t="s">
        <v>670</v>
      </c>
      <c r="H113" s="35">
        <v>839</v>
      </c>
    </row>
    <row r="114" spans="1:8" ht="17" thickTop="1" x14ac:dyDescent="0.2">
      <c r="A114" s="32" t="s">
        <v>181</v>
      </c>
      <c r="B114" s="33">
        <v>1454</v>
      </c>
      <c r="D114" s="32" t="s">
        <v>492</v>
      </c>
      <c r="E114" s="33">
        <v>2107</v>
      </c>
      <c r="G114" s="32" t="s">
        <v>671</v>
      </c>
      <c r="H114" s="33">
        <v>361</v>
      </c>
    </row>
    <row r="115" spans="1:8" x14ac:dyDescent="0.2">
      <c r="A115" s="32" t="s">
        <v>182</v>
      </c>
      <c r="B115" s="33">
        <v>33049</v>
      </c>
      <c r="D115" s="32" t="s">
        <v>493</v>
      </c>
      <c r="E115" s="33">
        <v>536</v>
      </c>
      <c r="G115" s="32" t="s">
        <v>672</v>
      </c>
      <c r="H115" s="33">
        <v>20379</v>
      </c>
    </row>
    <row r="116" spans="1:8" x14ac:dyDescent="0.2">
      <c r="A116" s="32" t="s">
        <v>183</v>
      </c>
      <c r="B116" s="33">
        <v>605</v>
      </c>
      <c r="D116" s="32" t="s">
        <v>494</v>
      </c>
      <c r="E116" s="33">
        <v>160</v>
      </c>
      <c r="G116" s="32" t="s">
        <v>673</v>
      </c>
      <c r="H116" s="33">
        <v>1922</v>
      </c>
    </row>
    <row r="117" spans="1:8" x14ac:dyDescent="0.2">
      <c r="A117" s="32" t="s">
        <v>184</v>
      </c>
      <c r="B117" s="33">
        <v>836</v>
      </c>
      <c r="D117" s="32" t="s">
        <v>495</v>
      </c>
      <c r="E117" s="33">
        <v>31340</v>
      </c>
      <c r="G117" s="32" t="s">
        <v>674</v>
      </c>
      <c r="H117" s="33">
        <v>526</v>
      </c>
    </row>
    <row r="118" spans="1:8" ht="17" thickBot="1" x14ac:dyDescent="0.25">
      <c r="A118" s="34" t="s">
        <v>185</v>
      </c>
      <c r="B118" s="35">
        <v>12042</v>
      </c>
      <c r="D118" s="34" t="s">
        <v>496</v>
      </c>
      <c r="E118" s="35">
        <v>187</v>
      </c>
      <c r="G118" s="34" t="s">
        <v>675</v>
      </c>
      <c r="H118" s="35">
        <v>448</v>
      </c>
    </row>
    <row r="119" spans="1:8" ht="17" thickTop="1" x14ac:dyDescent="0.2">
      <c r="A119" s="32" t="s">
        <v>186</v>
      </c>
      <c r="B119" s="33">
        <v>10629</v>
      </c>
      <c r="D119" s="32" t="s">
        <v>497</v>
      </c>
      <c r="E119" s="33">
        <v>68214</v>
      </c>
      <c r="G119" s="32" t="s">
        <v>676</v>
      </c>
      <c r="H119" s="33">
        <v>13668</v>
      </c>
    </row>
    <row r="120" spans="1:8" x14ac:dyDescent="0.2">
      <c r="A120" s="32" t="s">
        <v>187</v>
      </c>
      <c r="B120" s="33">
        <v>5353</v>
      </c>
      <c r="D120" s="32" t="s">
        <v>498</v>
      </c>
      <c r="E120" s="33">
        <v>263</v>
      </c>
      <c r="G120" s="32" t="s">
        <v>677</v>
      </c>
      <c r="H120" s="33">
        <v>205</v>
      </c>
    </row>
    <row r="121" spans="1:8" x14ac:dyDescent="0.2">
      <c r="A121" s="32" t="s">
        <v>188</v>
      </c>
      <c r="B121" s="33">
        <v>7238</v>
      </c>
      <c r="D121" s="32" t="s">
        <v>499</v>
      </c>
      <c r="E121" s="33">
        <v>98</v>
      </c>
      <c r="G121" s="32" t="s">
        <v>678</v>
      </c>
      <c r="H121" s="33">
        <v>5191</v>
      </c>
    </row>
    <row r="122" spans="1:8" x14ac:dyDescent="0.2">
      <c r="A122" s="32" t="s">
        <v>189</v>
      </c>
      <c r="B122" s="33">
        <v>267</v>
      </c>
      <c r="D122" s="32" t="s">
        <v>500</v>
      </c>
      <c r="E122" s="33">
        <v>91</v>
      </c>
      <c r="G122" s="32" t="s">
        <v>679</v>
      </c>
      <c r="H122" s="33">
        <v>1034</v>
      </c>
    </row>
    <row r="123" spans="1:8" ht="17" thickBot="1" x14ac:dyDescent="0.25">
      <c r="A123" s="34" t="s">
        <v>190</v>
      </c>
      <c r="B123" s="35">
        <v>14367</v>
      </c>
      <c r="D123" s="34" t="s">
        <v>501</v>
      </c>
      <c r="E123" s="35">
        <v>406</v>
      </c>
      <c r="G123" s="34" t="s">
        <v>680</v>
      </c>
      <c r="H123" s="35">
        <v>1148</v>
      </c>
    </row>
    <row r="124" spans="1:8" ht="17" thickTop="1" x14ac:dyDescent="0.2">
      <c r="A124" s="32" t="s">
        <v>191</v>
      </c>
      <c r="B124" s="33">
        <v>239</v>
      </c>
      <c r="D124" s="32" t="s">
        <v>502</v>
      </c>
      <c r="E124" s="33">
        <v>1321</v>
      </c>
      <c r="G124" s="32" t="s">
        <v>681</v>
      </c>
      <c r="H124" s="33">
        <v>152</v>
      </c>
    </row>
    <row r="125" spans="1:8" x14ac:dyDescent="0.2">
      <c r="A125" s="32" t="s">
        <v>192</v>
      </c>
      <c r="B125" s="33">
        <v>17532</v>
      </c>
      <c r="D125" s="32" t="s">
        <v>503</v>
      </c>
      <c r="E125" s="33">
        <v>1550</v>
      </c>
      <c r="G125" s="32" t="s">
        <v>682</v>
      </c>
      <c r="H125" s="33">
        <v>2804</v>
      </c>
    </row>
    <row r="126" spans="1:8" x14ac:dyDescent="0.2">
      <c r="A126" s="32" t="s">
        <v>193</v>
      </c>
      <c r="B126" s="33">
        <v>63981</v>
      </c>
      <c r="D126" s="32" t="s">
        <v>504</v>
      </c>
      <c r="E126" s="33">
        <v>184</v>
      </c>
      <c r="G126" s="32" t="s">
        <v>683</v>
      </c>
      <c r="H126" s="33">
        <v>1777</v>
      </c>
    </row>
    <row r="127" spans="1:8" x14ac:dyDescent="0.2">
      <c r="A127" s="32" t="s">
        <v>194</v>
      </c>
      <c r="B127" s="33">
        <v>233</v>
      </c>
      <c r="D127" s="32" t="s">
        <v>505</v>
      </c>
      <c r="E127" s="33">
        <v>373</v>
      </c>
      <c r="G127" s="32" t="s">
        <v>684</v>
      </c>
      <c r="H127" s="33">
        <v>5540</v>
      </c>
    </row>
    <row r="128" spans="1:8" ht="17" thickBot="1" x14ac:dyDescent="0.25">
      <c r="A128" s="34" t="s">
        <v>195</v>
      </c>
      <c r="B128" s="35">
        <v>23023</v>
      </c>
      <c r="D128" s="34" t="s">
        <v>506</v>
      </c>
      <c r="E128" s="35">
        <v>35742</v>
      </c>
      <c r="G128" s="34" t="s">
        <v>685</v>
      </c>
      <c r="H128" s="35">
        <v>2081</v>
      </c>
    </row>
    <row r="129" spans="1:8" ht="17" thickTop="1" x14ac:dyDescent="0.2">
      <c r="A129" s="32" t="s">
        <v>196</v>
      </c>
      <c r="B129" s="33">
        <v>4906</v>
      </c>
      <c r="D129" s="32" t="s">
        <v>507</v>
      </c>
      <c r="E129" s="33">
        <v>93</v>
      </c>
      <c r="G129" s="32" t="s">
        <v>686</v>
      </c>
      <c r="H129" s="33">
        <v>3190</v>
      </c>
    </row>
    <row r="130" spans="1:8" x14ac:dyDescent="0.2">
      <c r="A130" s="32" t="s">
        <v>197</v>
      </c>
      <c r="B130" s="33">
        <v>710</v>
      </c>
      <c r="D130" s="32" t="s">
        <v>508</v>
      </c>
      <c r="E130" s="33">
        <v>2488</v>
      </c>
      <c r="G130" s="32" t="s">
        <v>687</v>
      </c>
      <c r="H130" s="33">
        <v>982</v>
      </c>
    </row>
    <row r="131" spans="1:8" x14ac:dyDescent="0.2">
      <c r="A131" s="32" t="s">
        <v>198</v>
      </c>
      <c r="B131" s="33">
        <v>2873</v>
      </c>
      <c r="D131" s="32" t="s">
        <v>509</v>
      </c>
      <c r="E131" s="33">
        <v>81</v>
      </c>
      <c r="G131" s="32" t="s">
        <v>688</v>
      </c>
      <c r="H131" s="33">
        <v>997</v>
      </c>
    </row>
    <row r="132" spans="1:8" x14ac:dyDescent="0.2">
      <c r="A132" s="32" t="s">
        <v>199</v>
      </c>
      <c r="B132" s="33">
        <v>20678</v>
      </c>
      <c r="D132" s="32" t="s">
        <v>510</v>
      </c>
      <c r="E132" s="33">
        <v>63385</v>
      </c>
      <c r="G132" s="32" t="s">
        <v>689</v>
      </c>
      <c r="H132" s="33">
        <v>706</v>
      </c>
    </row>
    <row r="133" spans="1:8" ht="17" thickBot="1" x14ac:dyDescent="0.25">
      <c r="A133" s="34" t="s">
        <v>200</v>
      </c>
      <c r="B133" s="35">
        <v>5500</v>
      </c>
      <c r="D133" s="34" t="s">
        <v>511</v>
      </c>
      <c r="E133" s="35">
        <v>321</v>
      </c>
      <c r="G133" s="34" t="s">
        <v>690</v>
      </c>
      <c r="H133" s="35">
        <v>59850</v>
      </c>
    </row>
    <row r="134" spans="1:8" ht="17" thickTop="1" x14ac:dyDescent="0.2">
      <c r="A134" s="32" t="s">
        <v>201</v>
      </c>
      <c r="B134" s="33">
        <v>7190</v>
      </c>
      <c r="D134" s="32" t="s">
        <v>512</v>
      </c>
      <c r="E134" s="33">
        <v>6521</v>
      </c>
      <c r="G134" s="32" t="s">
        <v>691</v>
      </c>
      <c r="H134" s="33">
        <v>471</v>
      </c>
    </row>
    <row r="135" spans="1:8" x14ac:dyDescent="0.2">
      <c r="A135" s="32" t="s">
        <v>202</v>
      </c>
      <c r="B135" s="33">
        <v>106358</v>
      </c>
      <c r="D135" s="32" t="s">
        <v>513</v>
      </c>
      <c r="E135" s="33">
        <v>36244</v>
      </c>
      <c r="G135" s="32" t="s">
        <v>692</v>
      </c>
      <c r="H135" s="33">
        <v>1169</v>
      </c>
    </row>
    <row r="136" spans="1:8" x14ac:dyDescent="0.2">
      <c r="A136" s="32" t="s">
        <v>203</v>
      </c>
      <c r="B136" s="33">
        <v>1503</v>
      </c>
      <c r="D136" s="32" t="s">
        <v>514</v>
      </c>
      <c r="E136" s="33">
        <v>13039</v>
      </c>
      <c r="G136" s="32" t="s">
        <v>693</v>
      </c>
      <c r="H136" s="33">
        <v>2478</v>
      </c>
    </row>
    <row r="137" spans="1:8" x14ac:dyDescent="0.2">
      <c r="A137" s="32" t="s">
        <v>204</v>
      </c>
      <c r="B137" s="33">
        <v>4344</v>
      </c>
      <c r="D137" s="32" t="s">
        <v>515</v>
      </c>
      <c r="E137" s="33">
        <v>11635</v>
      </c>
      <c r="G137" s="32" t="s">
        <v>694</v>
      </c>
      <c r="H137" s="33">
        <v>624</v>
      </c>
    </row>
    <row r="138" spans="1:8" ht="17" thickBot="1" x14ac:dyDescent="0.25">
      <c r="A138" s="34" t="s">
        <v>205</v>
      </c>
      <c r="B138" s="35">
        <v>20639</v>
      </c>
      <c r="D138" s="34" t="s">
        <v>516</v>
      </c>
      <c r="E138" s="35">
        <v>6256</v>
      </c>
      <c r="G138" s="34" t="s">
        <v>695</v>
      </c>
      <c r="H138" s="35">
        <v>1631</v>
      </c>
    </row>
    <row r="139" spans="1:8" ht="17" thickTop="1" x14ac:dyDescent="0.2">
      <c r="A139" s="32" t="s">
        <v>206</v>
      </c>
      <c r="B139" s="33">
        <v>47270</v>
      </c>
      <c r="D139" s="32" t="s">
        <v>517</v>
      </c>
      <c r="E139" s="33">
        <v>61884</v>
      </c>
      <c r="G139" s="32" t="s">
        <v>696</v>
      </c>
      <c r="H139" s="33">
        <v>11080</v>
      </c>
    </row>
    <row r="140" spans="1:8" x14ac:dyDescent="0.2">
      <c r="A140" s="32" t="s">
        <v>207</v>
      </c>
      <c r="B140" s="33">
        <v>613</v>
      </c>
      <c r="D140" s="32" t="s">
        <v>518</v>
      </c>
      <c r="E140" s="33">
        <v>826</v>
      </c>
      <c r="G140" s="32" t="s">
        <v>697</v>
      </c>
      <c r="H140" s="33">
        <v>2365</v>
      </c>
    </row>
    <row r="141" spans="1:8" x14ac:dyDescent="0.2">
      <c r="A141" s="32" t="s">
        <v>208</v>
      </c>
      <c r="B141" s="33">
        <v>2521</v>
      </c>
      <c r="D141" s="32" t="s">
        <v>519</v>
      </c>
      <c r="E141" s="33">
        <v>604</v>
      </c>
      <c r="G141" s="32" t="s">
        <v>698</v>
      </c>
      <c r="H141" s="33">
        <v>349</v>
      </c>
    </row>
    <row r="142" spans="1:8" x14ac:dyDescent="0.2">
      <c r="A142" s="32" t="s">
        <v>209</v>
      </c>
      <c r="B142" s="33">
        <v>28295</v>
      </c>
      <c r="D142" s="32" t="s">
        <v>520</v>
      </c>
      <c r="E142" s="33">
        <v>1010</v>
      </c>
      <c r="G142" s="32" t="s">
        <v>699</v>
      </c>
      <c r="H142" s="33">
        <v>380</v>
      </c>
    </row>
    <row r="143" spans="1:8" ht="17" thickBot="1" x14ac:dyDescent="0.25">
      <c r="A143" s="34" t="s">
        <v>210</v>
      </c>
      <c r="B143" s="35">
        <v>117</v>
      </c>
      <c r="D143" s="34" t="s">
        <v>521</v>
      </c>
      <c r="E143" s="35">
        <v>114</v>
      </c>
      <c r="G143" s="34" t="s">
        <v>700</v>
      </c>
      <c r="H143" s="35">
        <v>5414</v>
      </c>
    </row>
    <row r="144" spans="1:8" ht="17" thickTop="1" x14ac:dyDescent="0.2">
      <c r="A144" s="32" t="s">
        <v>211</v>
      </c>
      <c r="B144" s="33">
        <v>822</v>
      </c>
      <c r="D144" s="32" t="s">
        <v>522</v>
      </c>
      <c r="E144" s="33">
        <v>1759</v>
      </c>
      <c r="G144" s="32" t="s">
        <v>701</v>
      </c>
      <c r="H144" s="33">
        <v>76</v>
      </c>
    </row>
    <row r="145" spans="1:8" x14ac:dyDescent="0.2">
      <c r="A145" s="32" t="s">
        <v>212</v>
      </c>
      <c r="B145" s="33">
        <v>8335</v>
      </c>
      <c r="D145" s="32" t="s">
        <v>523</v>
      </c>
      <c r="E145" s="33">
        <v>4499</v>
      </c>
      <c r="G145" s="32" t="s">
        <v>702</v>
      </c>
      <c r="H145" s="33">
        <v>537</v>
      </c>
    </row>
    <row r="146" spans="1:8" x14ac:dyDescent="0.2">
      <c r="A146" s="32" t="s">
        <v>213</v>
      </c>
      <c r="B146" s="33">
        <v>466</v>
      </c>
      <c r="D146" s="32" t="s">
        <v>524</v>
      </c>
      <c r="E146" s="33">
        <v>105</v>
      </c>
      <c r="G146" s="32" t="s">
        <v>703</v>
      </c>
      <c r="H146" s="33">
        <v>1021</v>
      </c>
    </row>
    <row r="147" spans="1:8" x14ac:dyDescent="0.2">
      <c r="A147" s="32" t="s">
        <v>214</v>
      </c>
      <c r="B147" s="33">
        <v>178</v>
      </c>
      <c r="D147" s="32" t="s">
        <v>525</v>
      </c>
      <c r="E147" s="33">
        <v>6166</v>
      </c>
      <c r="G147" s="32" t="s">
        <v>704</v>
      </c>
      <c r="H147" s="33">
        <v>849</v>
      </c>
    </row>
    <row r="148" spans="1:8" ht="17" thickBot="1" x14ac:dyDescent="0.25">
      <c r="A148" s="34" t="s">
        <v>215</v>
      </c>
      <c r="B148" s="35">
        <v>8592</v>
      </c>
      <c r="D148" s="34" t="s">
        <v>526</v>
      </c>
      <c r="E148" s="35">
        <v>1658</v>
      </c>
      <c r="G148" s="34" t="s">
        <v>705</v>
      </c>
      <c r="H148" s="35">
        <v>1038</v>
      </c>
    </row>
    <row r="149" spans="1:8" ht="17" thickTop="1" x14ac:dyDescent="0.2">
      <c r="A149" s="32" t="s">
        <v>216</v>
      </c>
      <c r="B149" s="33">
        <v>12868</v>
      </c>
      <c r="D149" s="32" t="s">
        <v>527</v>
      </c>
      <c r="E149" s="33">
        <v>2165</v>
      </c>
      <c r="G149" s="32" t="s">
        <v>706</v>
      </c>
      <c r="H149" s="33">
        <v>1402</v>
      </c>
    </row>
    <row r="150" spans="1:8" x14ac:dyDescent="0.2">
      <c r="A150" s="32" t="s">
        <v>217</v>
      </c>
      <c r="B150" s="33">
        <v>286</v>
      </c>
      <c r="D150" s="32" t="s">
        <v>528</v>
      </c>
      <c r="E150" s="33">
        <v>936</v>
      </c>
      <c r="G150" s="32" t="s">
        <v>707</v>
      </c>
      <c r="H150" s="33">
        <v>17211</v>
      </c>
    </row>
    <row r="151" spans="1:8" x14ac:dyDescent="0.2">
      <c r="A151" s="32" t="s">
        <v>218</v>
      </c>
      <c r="B151" s="33">
        <v>341</v>
      </c>
      <c r="D151" s="32" t="s">
        <v>529</v>
      </c>
      <c r="E151" s="33">
        <v>97887</v>
      </c>
      <c r="G151" s="32" t="s">
        <v>708</v>
      </c>
      <c r="H151" s="33">
        <v>573</v>
      </c>
    </row>
    <row r="152" spans="1:8" x14ac:dyDescent="0.2">
      <c r="A152" s="32" t="s">
        <v>219</v>
      </c>
      <c r="B152" s="33">
        <v>208</v>
      </c>
      <c r="D152" s="32" t="s">
        <v>530</v>
      </c>
      <c r="E152" s="33">
        <v>4890</v>
      </c>
      <c r="G152" s="32" t="s">
        <v>709</v>
      </c>
      <c r="H152" s="33">
        <v>798</v>
      </c>
    </row>
    <row r="153" spans="1:8" ht="17" thickBot="1" x14ac:dyDescent="0.25">
      <c r="A153" s="34" t="s">
        <v>220</v>
      </c>
      <c r="B153" s="35">
        <v>5350</v>
      </c>
      <c r="D153" s="34" t="s">
        <v>531</v>
      </c>
      <c r="E153" s="35">
        <v>2334</v>
      </c>
      <c r="G153" s="34" t="s">
        <v>710</v>
      </c>
      <c r="H153" s="35">
        <v>2327</v>
      </c>
    </row>
    <row r="154" spans="1:8" ht="17" thickTop="1" x14ac:dyDescent="0.2">
      <c r="A154" s="32" t="s">
        <v>221</v>
      </c>
      <c r="B154" s="33">
        <v>5435</v>
      </c>
      <c r="D154" s="32" t="s">
        <v>532</v>
      </c>
      <c r="E154" s="33">
        <v>2942</v>
      </c>
      <c r="G154" s="32" t="s">
        <v>711</v>
      </c>
      <c r="H154" s="33">
        <v>3761</v>
      </c>
    </row>
    <row r="155" spans="1:8" x14ac:dyDescent="0.2">
      <c r="A155" s="32" t="s">
        <v>222</v>
      </c>
      <c r="B155" s="33">
        <v>158</v>
      </c>
      <c r="D155" s="32" t="s">
        <v>533</v>
      </c>
      <c r="E155" s="33">
        <v>15563</v>
      </c>
      <c r="G155" s="32" t="s">
        <v>712</v>
      </c>
      <c r="H155" s="33">
        <v>2455</v>
      </c>
    </row>
    <row r="156" spans="1:8" x14ac:dyDescent="0.2">
      <c r="A156" s="32" t="s">
        <v>223</v>
      </c>
      <c r="B156" s="33">
        <v>2691</v>
      </c>
      <c r="D156" s="32" t="s">
        <v>534</v>
      </c>
      <c r="E156" s="33">
        <v>430</v>
      </c>
      <c r="G156" s="32" t="s">
        <v>713</v>
      </c>
      <c r="H156" s="33">
        <v>1045</v>
      </c>
    </row>
    <row r="157" spans="1:8" x14ac:dyDescent="0.2">
      <c r="A157" s="32" t="s">
        <v>224</v>
      </c>
      <c r="B157" s="33">
        <v>2422</v>
      </c>
      <c r="D157" s="32" t="s">
        <v>535</v>
      </c>
      <c r="E157" s="33">
        <v>4791</v>
      </c>
      <c r="G157" s="32" t="s">
        <v>714</v>
      </c>
      <c r="H157" s="33">
        <v>488</v>
      </c>
    </row>
    <row r="158" spans="1:8" ht="17" thickBot="1" x14ac:dyDescent="0.25">
      <c r="A158" s="34" t="s">
        <v>225</v>
      </c>
      <c r="B158" s="35">
        <v>1056</v>
      </c>
      <c r="D158" s="34" t="s">
        <v>536</v>
      </c>
      <c r="E158" s="35">
        <v>36927</v>
      </c>
      <c r="G158" s="34" t="s">
        <v>715</v>
      </c>
      <c r="H158" s="35">
        <v>109</v>
      </c>
    </row>
    <row r="159" spans="1:8" ht="17" thickTop="1" x14ac:dyDescent="0.2">
      <c r="A159" s="32" t="s">
        <v>226</v>
      </c>
      <c r="B159" s="33">
        <v>17987</v>
      </c>
      <c r="D159" s="32" t="s">
        <v>537</v>
      </c>
      <c r="E159" s="33">
        <v>663</v>
      </c>
      <c r="G159" s="32" t="s">
        <v>716</v>
      </c>
      <c r="H159" s="33">
        <v>1063</v>
      </c>
    </row>
    <row r="160" spans="1:8" x14ac:dyDescent="0.2">
      <c r="A160" s="32" t="s">
        <v>227</v>
      </c>
      <c r="B160" s="33">
        <v>1453</v>
      </c>
      <c r="D160" s="32" t="s">
        <v>538</v>
      </c>
      <c r="E160" s="33">
        <v>702</v>
      </c>
      <c r="G160" s="32" t="s">
        <v>717</v>
      </c>
      <c r="H160" s="33">
        <v>25685</v>
      </c>
    </row>
    <row r="161" spans="1:8" x14ac:dyDescent="0.2">
      <c r="A161" s="32" t="s">
        <v>228</v>
      </c>
      <c r="B161" s="33">
        <v>1158</v>
      </c>
      <c r="D161" s="32" t="s">
        <v>539</v>
      </c>
      <c r="E161" s="33">
        <v>605</v>
      </c>
      <c r="G161" s="32" t="s">
        <v>718</v>
      </c>
      <c r="H161" s="33">
        <v>2450</v>
      </c>
    </row>
    <row r="162" spans="1:8" x14ac:dyDescent="0.2">
      <c r="A162" s="32" t="s">
        <v>229</v>
      </c>
      <c r="B162" s="33">
        <v>872</v>
      </c>
      <c r="D162" s="32" t="s">
        <v>540</v>
      </c>
      <c r="E162" s="33">
        <v>533</v>
      </c>
      <c r="G162" s="32" t="s">
        <v>719</v>
      </c>
      <c r="H162" s="33">
        <v>1396</v>
      </c>
    </row>
    <row r="163" spans="1:8" ht="17" thickBot="1" x14ac:dyDescent="0.25">
      <c r="A163" s="34" t="s">
        <v>230</v>
      </c>
      <c r="B163" s="35">
        <v>248</v>
      </c>
      <c r="D163" s="34" t="s">
        <v>541</v>
      </c>
      <c r="E163" s="35">
        <v>611</v>
      </c>
      <c r="G163" s="34" t="s">
        <v>720</v>
      </c>
      <c r="H163" s="35">
        <v>1586</v>
      </c>
    </row>
    <row r="164" spans="1:8" ht="17" thickTop="1" x14ac:dyDescent="0.2">
      <c r="A164" s="32" t="s">
        <v>231</v>
      </c>
      <c r="B164" s="33">
        <v>633</v>
      </c>
      <c r="D164" s="32" t="s">
        <v>542</v>
      </c>
      <c r="E164" s="33">
        <v>7091</v>
      </c>
      <c r="G164" s="32" t="s">
        <v>721</v>
      </c>
      <c r="H164" s="33">
        <v>1412</v>
      </c>
    </row>
    <row r="165" spans="1:8" x14ac:dyDescent="0.2">
      <c r="A165" s="32" t="s">
        <v>232</v>
      </c>
      <c r="B165" s="33">
        <v>143</v>
      </c>
      <c r="D165" s="32" t="s">
        <v>543</v>
      </c>
      <c r="E165" s="33">
        <v>33169</v>
      </c>
      <c r="G165" s="32" t="s">
        <v>722</v>
      </c>
      <c r="H165" s="33">
        <v>13131</v>
      </c>
    </row>
    <row r="166" spans="1:8" x14ac:dyDescent="0.2">
      <c r="A166" s="32" t="s">
        <v>233</v>
      </c>
      <c r="B166" s="33">
        <v>463</v>
      </c>
      <c r="D166" s="32" t="s">
        <v>544</v>
      </c>
      <c r="E166" s="33">
        <v>1917</v>
      </c>
      <c r="G166" s="32" t="s">
        <v>723</v>
      </c>
      <c r="H166" s="33">
        <v>7370</v>
      </c>
    </row>
    <row r="167" spans="1:8" x14ac:dyDescent="0.2">
      <c r="A167" s="32" t="s">
        <v>234</v>
      </c>
      <c r="B167" s="33">
        <v>704</v>
      </c>
      <c r="D167" s="32" t="s">
        <v>545</v>
      </c>
      <c r="E167" s="33">
        <v>323</v>
      </c>
      <c r="G167" s="32" t="s">
        <v>724</v>
      </c>
      <c r="H167" s="33">
        <v>8988</v>
      </c>
    </row>
    <row r="168" spans="1:8" ht="17" thickBot="1" x14ac:dyDescent="0.25">
      <c r="A168" s="34" t="s">
        <v>235</v>
      </c>
      <c r="B168" s="35">
        <v>5917</v>
      </c>
      <c r="D168" s="34" t="s">
        <v>546</v>
      </c>
      <c r="E168" s="35">
        <v>2278</v>
      </c>
      <c r="G168" s="34" t="s">
        <v>725</v>
      </c>
      <c r="H168" s="35">
        <v>604</v>
      </c>
    </row>
    <row r="169" spans="1:8" ht="17" thickTop="1" x14ac:dyDescent="0.2">
      <c r="A169" s="32" t="s">
        <v>236</v>
      </c>
      <c r="B169" s="33">
        <v>11384</v>
      </c>
      <c r="D169" s="32" t="s">
        <v>547</v>
      </c>
      <c r="E169" s="33">
        <v>2026</v>
      </c>
      <c r="G169" s="32" t="s">
        <v>726</v>
      </c>
      <c r="H169" s="33">
        <v>1364</v>
      </c>
    </row>
    <row r="170" spans="1:8" x14ac:dyDescent="0.2">
      <c r="A170" s="32" t="s">
        <v>237</v>
      </c>
      <c r="B170" s="33">
        <v>8399</v>
      </c>
      <c r="D170" s="32" t="s">
        <v>548</v>
      </c>
      <c r="E170" s="33">
        <v>320</v>
      </c>
      <c r="G170" s="32" t="s">
        <v>727</v>
      </c>
      <c r="H170" s="33">
        <v>40548</v>
      </c>
    </row>
    <row r="171" spans="1:8" x14ac:dyDescent="0.2">
      <c r="A171" s="32" t="s">
        <v>238</v>
      </c>
      <c r="B171" s="33">
        <v>2696</v>
      </c>
      <c r="D171" s="32" t="s">
        <v>549</v>
      </c>
      <c r="E171" s="33">
        <v>8202</v>
      </c>
      <c r="G171" s="32" t="s">
        <v>728</v>
      </c>
      <c r="H171" s="33">
        <v>4316</v>
      </c>
    </row>
    <row r="172" spans="1:8" x14ac:dyDescent="0.2">
      <c r="A172" s="32" t="s">
        <v>239</v>
      </c>
      <c r="B172" s="33">
        <v>3314</v>
      </c>
      <c r="D172" s="32" t="s">
        <v>550</v>
      </c>
      <c r="E172" s="33">
        <v>1103</v>
      </c>
      <c r="G172" s="32" t="s">
        <v>729</v>
      </c>
      <c r="H172" s="33">
        <v>18631</v>
      </c>
    </row>
    <row r="173" spans="1:8" ht="17" thickBot="1" x14ac:dyDescent="0.25">
      <c r="A173" s="34" t="s">
        <v>240</v>
      </c>
      <c r="B173" s="35">
        <v>14983</v>
      </c>
      <c r="D173" s="34" t="s">
        <v>551</v>
      </c>
      <c r="E173" s="35">
        <v>933</v>
      </c>
      <c r="G173" s="34" t="s">
        <v>730</v>
      </c>
      <c r="H173" s="35">
        <v>3386</v>
      </c>
    </row>
    <row r="174" spans="1:8" ht="17" thickTop="1" x14ac:dyDescent="0.2">
      <c r="A174" s="32" t="s">
        <v>241</v>
      </c>
      <c r="B174" s="33">
        <v>356</v>
      </c>
      <c r="D174" s="32" t="s">
        <v>552</v>
      </c>
      <c r="E174" s="33">
        <v>4197</v>
      </c>
      <c r="G174" s="32" t="s">
        <v>731</v>
      </c>
      <c r="H174" s="33">
        <v>1724</v>
      </c>
    </row>
    <row r="175" spans="1:8" x14ac:dyDescent="0.2">
      <c r="A175" s="32" t="s">
        <v>242</v>
      </c>
      <c r="B175" s="33">
        <v>10048</v>
      </c>
      <c r="D175" s="32" t="s">
        <v>553</v>
      </c>
      <c r="E175" s="33">
        <v>2945</v>
      </c>
      <c r="G175" s="32" t="s">
        <v>732</v>
      </c>
      <c r="H175" s="33">
        <v>1348</v>
      </c>
    </row>
    <row r="176" spans="1:8" x14ac:dyDescent="0.2">
      <c r="A176" s="32" t="s">
        <v>243</v>
      </c>
      <c r="B176" s="33">
        <v>21074</v>
      </c>
      <c r="D176" s="32" t="s">
        <v>554</v>
      </c>
      <c r="E176" s="33">
        <v>5944</v>
      </c>
      <c r="G176" s="32" t="s">
        <v>733</v>
      </c>
      <c r="H176" s="33">
        <v>645</v>
      </c>
    </row>
    <row r="177" spans="1:8" x14ac:dyDescent="0.2">
      <c r="A177" s="32" t="s">
        <v>244</v>
      </c>
      <c r="B177" s="33">
        <v>895</v>
      </c>
      <c r="D177" s="32" t="s">
        <v>555</v>
      </c>
      <c r="E177" s="33">
        <v>588</v>
      </c>
      <c r="G177" s="32" t="s">
        <v>734</v>
      </c>
      <c r="H177" s="33">
        <v>1628</v>
      </c>
    </row>
    <row r="178" spans="1:8" ht="17" thickBot="1" x14ac:dyDescent="0.25">
      <c r="A178" s="34" t="s">
        <v>245</v>
      </c>
      <c r="B178" s="35">
        <v>1790</v>
      </c>
      <c r="D178" s="34" t="s">
        <v>556</v>
      </c>
      <c r="E178" s="35">
        <v>1846</v>
      </c>
      <c r="G178" s="34" t="s">
        <v>735</v>
      </c>
      <c r="H178" s="35">
        <v>4167</v>
      </c>
    </row>
    <row r="179" spans="1:8" ht="17" thickTop="1" x14ac:dyDescent="0.2">
      <c r="A179" s="32" t="s">
        <v>246</v>
      </c>
      <c r="B179" s="33">
        <v>1388</v>
      </c>
      <c r="D179" s="32" t="s">
        <v>557</v>
      </c>
      <c r="E179" s="33">
        <v>372</v>
      </c>
      <c r="G179" s="32" t="s">
        <v>736</v>
      </c>
      <c r="H179" s="33">
        <v>3002</v>
      </c>
    </row>
    <row r="180" spans="1:8" x14ac:dyDescent="0.2">
      <c r="A180" s="32" t="s">
        <v>247</v>
      </c>
      <c r="B180" s="33">
        <v>5145</v>
      </c>
      <c r="D180" s="32" t="s">
        <v>558</v>
      </c>
      <c r="E180" s="33">
        <v>11701</v>
      </c>
      <c r="G180" s="32" t="s">
        <v>737</v>
      </c>
      <c r="H180" s="33">
        <v>2793</v>
      </c>
    </row>
    <row r="181" spans="1:8" x14ac:dyDescent="0.2">
      <c r="A181" s="32" t="s">
        <v>248</v>
      </c>
      <c r="B181" s="33">
        <v>2688</v>
      </c>
      <c r="D181" s="32" t="s">
        <v>559</v>
      </c>
      <c r="E181" s="33">
        <v>777</v>
      </c>
      <c r="G181" s="32" t="s">
        <v>738</v>
      </c>
      <c r="H181" s="33">
        <v>633</v>
      </c>
    </row>
    <row r="182" spans="1:8" x14ac:dyDescent="0.2">
      <c r="A182" s="32" t="s">
        <v>249</v>
      </c>
      <c r="B182" s="33">
        <v>414</v>
      </c>
      <c r="D182" s="32" t="s">
        <v>560</v>
      </c>
      <c r="E182" s="33">
        <v>6431</v>
      </c>
      <c r="G182" s="32" t="s">
        <v>739</v>
      </c>
      <c r="H182" s="33">
        <v>21003</v>
      </c>
    </row>
    <row r="183" spans="1:8" ht="17" thickBot="1" x14ac:dyDescent="0.25">
      <c r="A183" s="34" t="s">
        <v>250</v>
      </c>
      <c r="B183" s="35">
        <v>61818</v>
      </c>
      <c r="D183" s="34" t="s">
        <v>561</v>
      </c>
      <c r="E183" s="35">
        <v>1587</v>
      </c>
      <c r="G183" s="34" t="s">
        <v>740</v>
      </c>
      <c r="H183" s="35">
        <v>7197</v>
      </c>
    </row>
    <row r="184" spans="1:8" ht="17" thickTop="1" x14ac:dyDescent="0.2">
      <c r="A184" s="32" t="s">
        <v>251</v>
      </c>
      <c r="B184" s="33">
        <v>2687</v>
      </c>
      <c r="D184" s="32" t="s">
        <v>562</v>
      </c>
      <c r="E184" s="33">
        <v>5778</v>
      </c>
      <c r="G184" s="32" t="s">
        <v>741</v>
      </c>
      <c r="H184" s="33">
        <v>919</v>
      </c>
    </row>
    <row r="185" spans="1:8" x14ac:dyDescent="0.2">
      <c r="A185" s="32" t="s">
        <v>252</v>
      </c>
      <c r="B185" s="33">
        <v>537</v>
      </c>
      <c r="D185" s="32" t="s">
        <v>563</v>
      </c>
      <c r="E185" s="33">
        <v>22564</v>
      </c>
      <c r="G185" s="32" t="s">
        <v>742</v>
      </c>
      <c r="H185" s="33">
        <v>32664</v>
      </c>
    </row>
    <row r="186" spans="1:8" x14ac:dyDescent="0.2">
      <c r="A186" s="32" t="s">
        <v>253</v>
      </c>
      <c r="B186" s="33">
        <v>9114</v>
      </c>
      <c r="D186" s="32" t="s">
        <v>564</v>
      </c>
      <c r="E186" s="33">
        <v>188</v>
      </c>
      <c r="G186" s="32" t="s">
        <v>743</v>
      </c>
      <c r="H186" s="33">
        <v>524</v>
      </c>
    </row>
    <row r="187" spans="1:8" ht="17" thickBot="1" x14ac:dyDescent="0.25">
      <c r="A187" s="32" t="s">
        <v>254</v>
      </c>
      <c r="B187" s="33">
        <v>26334</v>
      </c>
      <c r="D187" s="34" t="s">
        <v>565</v>
      </c>
      <c r="E187" s="35">
        <v>1171</v>
      </c>
      <c r="G187" s="32" t="s">
        <v>744</v>
      </c>
      <c r="H187" s="33">
        <v>18860</v>
      </c>
    </row>
    <row r="188" spans="1:8" ht="18" thickTop="1" thickBot="1" x14ac:dyDescent="0.25">
      <c r="A188" s="34" t="s">
        <v>255</v>
      </c>
      <c r="B188" s="35">
        <v>347</v>
      </c>
      <c r="G188" s="34" t="s">
        <v>745</v>
      </c>
      <c r="H188" s="35">
        <v>1586</v>
      </c>
    </row>
    <row r="189" spans="1:8" ht="17" thickTop="1" x14ac:dyDescent="0.2">
      <c r="A189" s="32" t="s">
        <v>256</v>
      </c>
      <c r="B189" s="33">
        <v>4188</v>
      </c>
      <c r="G189" s="32" t="s">
        <v>746</v>
      </c>
      <c r="H189" s="33">
        <v>618</v>
      </c>
    </row>
    <row r="190" spans="1:8" x14ac:dyDescent="0.2">
      <c r="A190" s="32" t="s">
        <v>257</v>
      </c>
      <c r="B190" s="33">
        <v>188</v>
      </c>
      <c r="G190" s="32" t="s">
        <v>747</v>
      </c>
      <c r="H190" s="33">
        <v>511</v>
      </c>
    </row>
    <row r="191" spans="1:8" x14ac:dyDescent="0.2">
      <c r="A191" s="32" t="s">
        <v>258</v>
      </c>
      <c r="B191" s="33">
        <v>70</v>
      </c>
      <c r="G191" s="32" t="s">
        <v>748</v>
      </c>
      <c r="H191" s="33">
        <v>46974</v>
      </c>
    </row>
    <row r="192" spans="1:8" x14ac:dyDescent="0.2">
      <c r="A192" s="32" t="s">
        <v>259</v>
      </c>
      <c r="B192" s="33">
        <v>389</v>
      </c>
      <c r="G192" s="32" t="s">
        <v>749</v>
      </c>
      <c r="H192" s="33">
        <v>2195</v>
      </c>
    </row>
    <row r="193" spans="1:8" ht="17" thickBot="1" x14ac:dyDescent="0.25">
      <c r="A193" s="34" t="s">
        <v>260</v>
      </c>
      <c r="B193" s="35">
        <v>396</v>
      </c>
      <c r="G193" s="34" t="s">
        <v>750</v>
      </c>
      <c r="H193" s="35">
        <v>822</v>
      </c>
    </row>
    <row r="194" spans="1:8" ht="17" thickTop="1" x14ac:dyDescent="0.2">
      <c r="A194" s="32" t="s">
        <v>261</v>
      </c>
      <c r="B194" s="33">
        <v>30235</v>
      </c>
      <c r="G194" s="32" t="s">
        <v>751</v>
      </c>
      <c r="H194" s="33">
        <v>9024</v>
      </c>
    </row>
    <row r="195" spans="1:8" x14ac:dyDescent="0.2">
      <c r="A195" s="32" t="s">
        <v>262</v>
      </c>
      <c r="B195" s="33">
        <v>7748</v>
      </c>
      <c r="G195" s="32" t="s">
        <v>752</v>
      </c>
      <c r="H195" s="33">
        <v>16333</v>
      </c>
    </row>
    <row r="196" spans="1:8" x14ac:dyDescent="0.2">
      <c r="A196" s="32" t="s">
        <v>263</v>
      </c>
      <c r="B196" s="33">
        <v>5210</v>
      </c>
      <c r="G196" s="32" t="s">
        <v>753</v>
      </c>
      <c r="H196" s="33">
        <v>2148</v>
      </c>
    </row>
    <row r="197" spans="1:8" x14ac:dyDescent="0.2">
      <c r="A197" s="32" t="s">
        <v>264</v>
      </c>
      <c r="B197" s="33">
        <v>61159</v>
      </c>
      <c r="G197" s="32" t="s">
        <v>754</v>
      </c>
      <c r="H197" s="33">
        <v>202</v>
      </c>
    </row>
    <row r="198" spans="1:8" ht="17" thickBot="1" x14ac:dyDescent="0.25">
      <c r="A198" s="34" t="s">
        <v>265</v>
      </c>
      <c r="B198" s="35">
        <v>123</v>
      </c>
      <c r="G198" s="34" t="s">
        <v>755</v>
      </c>
      <c r="H198" s="35">
        <v>5287</v>
      </c>
    </row>
    <row r="199" spans="1:8" ht="17" thickTop="1" x14ac:dyDescent="0.2">
      <c r="A199" s="32" t="s">
        <v>266</v>
      </c>
      <c r="B199" s="33">
        <v>341</v>
      </c>
      <c r="G199" s="32" t="s">
        <v>756</v>
      </c>
      <c r="H199" s="33">
        <v>12938</v>
      </c>
    </row>
    <row r="200" spans="1:8" x14ac:dyDescent="0.2">
      <c r="A200" s="32" t="s">
        <v>267</v>
      </c>
      <c r="B200" s="33">
        <v>183788</v>
      </c>
      <c r="G200" s="32" t="s">
        <v>757</v>
      </c>
      <c r="H200" s="33">
        <v>2533</v>
      </c>
    </row>
    <row r="201" spans="1:8" x14ac:dyDescent="0.2">
      <c r="A201" s="32" t="s">
        <v>268</v>
      </c>
      <c r="B201" s="33">
        <v>153</v>
      </c>
      <c r="G201" s="32" t="s">
        <v>758</v>
      </c>
      <c r="H201" s="33">
        <v>4359</v>
      </c>
    </row>
    <row r="202" spans="1:8" x14ac:dyDescent="0.2">
      <c r="A202" s="32" t="s">
        <v>269</v>
      </c>
      <c r="B202" s="33">
        <v>315</v>
      </c>
      <c r="G202" s="32" t="s">
        <v>759</v>
      </c>
      <c r="H202" s="33">
        <v>3045</v>
      </c>
    </row>
    <row r="203" spans="1:8" ht="17" thickBot="1" x14ac:dyDescent="0.25">
      <c r="A203" s="34" t="s">
        <v>270</v>
      </c>
      <c r="B203" s="35">
        <v>7004</v>
      </c>
      <c r="G203" s="34" t="s">
        <v>760</v>
      </c>
      <c r="H203" s="35">
        <v>937</v>
      </c>
    </row>
    <row r="204" spans="1:8" ht="17" thickTop="1" x14ac:dyDescent="0.2">
      <c r="A204" s="32" t="s">
        <v>271</v>
      </c>
      <c r="B204" s="33">
        <v>31939</v>
      </c>
      <c r="G204" s="32" t="s">
        <v>761</v>
      </c>
      <c r="H204" s="33">
        <v>14965</v>
      </c>
    </row>
    <row r="205" spans="1:8" x14ac:dyDescent="0.2">
      <c r="A205" s="32" t="s">
        <v>272</v>
      </c>
      <c r="B205" s="33">
        <v>105</v>
      </c>
      <c r="G205" s="32" t="s">
        <v>762</v>
      </c>
      <c r="H205" s="33">
        <v>66</v>
      </c>
    </row>
    <row r="206" spans="1:8" x14ac:dyDescent="0.2">
      <c r="A206" s="32" t="s">
        <v>273</v>
      </c>
      <c r="B206" s="33">
        <v>21933</v>
      </c>
      <c r="G206" s="32" t="s">
        <v>763</v>
      </c>
      <c r="H206" s="33">
        <v>7352</v>
      </c>
    </row>
    <row r="207" spans="1:8" x14ac:dyDescent="0.2">
      <c r="A207" s="32" t="s">
        <v>274</v>
      </c>
      <c r="B207" s="33">
        <v>7833</v>
      </c>
      <c r="G207" s="32" t="s">
        <v>764</v>
      </c>
      <c r="H207" s="33">
        <v>1077</v>
      </c>
    </row>
    <row r="208" spans="1:8" ht="17" thickBot="1" x14ac:dyDescent="0.25">
      <c r="A208" s="34" t="s">
        <v>275</v>
      </c>
      <c r="B208" s="35">
        <v>3829</v>
      </c>
      <c r="G208" s="34" t="s">
        <v>765</v>
      </c>
      <c r="H208" s="35">
        <v>25305</v>
      </c>
    </row>
    <row r="209" spans="1:8" ht="17" thickTop="1" x14ac:dyDescent="0.2">
      <c r="A209" s="32" t="s">
        <v>276</v>
      </c>
      <c r="B209" s="33">
        <v>1106</v>
      </c>
      <c r="G209" s="32" t="s">
        <v>766</v>
      </c>
      <c r="H209" s="33">
        <v>1359</v>
      </c>
    </row>
    <row r="210" spans="1:8" x14ac:dyDescent="0.2">
      <c r="A210" s="32" t="s">
        <v>277</v>
      </c>
      <c r="B210" s="33">
        <v>78738</v>
      </c>
      <c r="G210" s="32" t="s">
        <v>767</v>
      </c>
      <c r="H210" s="33">
        <v>2538</v>
      </c>
    </row>
    <row r="211" spans="1:8" x14ac:dyDescent="0.2">
      <c r="A211" s="32" t="s">
        <v>278</v>
      </c>
      <c r="B211" s="33">
        <v>566</v>
      </c>
      <c r="G211" s="32" t="s">
        <v>768</v>
      </c>
      <c r="H211" s="33">
        <v>753</v>
      </c>
    </row>
    <row r="212" spans="1:8" x14ac:dyDescent="0.2">
      <c r="A212" s="32" t="s">
        <v>279</v>
      </c>
      <c r="B212" s="33">
        <v>1951</v>
      </c>
      <c r="G212" s="32" t="s">
        <v>769</v>
      </c>
      <c r="H212" s="33">
        <v>5727</v>
      </c>
    </row>
    <row r="213" spans="1:8" ht="17" thickBot="1" x14ac:dyDescent="0.25">
      <c r="A213" s="34" t="s">
        <v>280</v>
      </c>
      <c r="B213" s="35">
        <v>12700</v>
      </c>
      <c r="G213" s="34" t="s">
        <v>770</v>
      </c>
      <c r="H213" s="35">
        <v>1367</v>
      </c>
    </row>
    <row r="214" spans="1:8" ht="17" thickTop="1" x14ac:dyDescent="0.2">
      <c r="A214" s="32" t="s">
        <v>281</v>
      </c>
      <c r="B214" s="33">
        <v>3140</v>
      </c>
      <c r="G214" s="32" t="s">
        <v>771</v>
      </c>
      <c r="H214" s="33">
        <v>2381</v>
      </c>
    </row>
    <row r="215" spans="1:8" x14ac:dyDescent="0.2">
      <c r="A215" s="32" t="s">
        <v>282</v>
      </c>
      <c r="B215" s="33">
        <v>60265</v>
      </c>
      <c r="G215" s="32" t="s">
        <v>772</v>
      </c>
      <c r="H215" s="33">
        <v>369</v>
      </c>
    </row>
    <row r="216" spans="1:8" x14ac:dyDescent="0.2">
      <c r="A216" s="32" t="s">
        <v>283</v>
      </c>
      <c r="B216" s="33">
        <v>755</v>
      </c>
      <c r="G216" s="32" t="s">
        <v>773</v>
      </c>
      <c r="H216" s="33">
        <v>1870</v>
      </c>
    </row>
    <row r="217" spans="1:8" x14ac:dyDescent="0.2">
      <c r="A217" s="32" t="s">
        <v>284</v>
      </c>
      <c r="B217" s="33">
        <v>1484</v>
      </c>
      <c r="G217" s="32" t="s">
        <v>774</v>
      </c>
      <c r="H217" s="33">
        <v>1855</v>
      </c>
    </row>
    <row r="218" spans="1:8" ht="17" thickBot="1" x14ac:dyDescent="0.25">
      <c r="A218" s="34" t="s">
        <v>285</v>
      </c>
      <c r="B218" s="35">
        <v>5410</v>
      </c>
      <c r="G218" s="34" t="s">
        <v>775</v>
      </c>
      <c r="H218" s="35">
        <v>19135</v>
      </c>
    </row>
    <row r="219" spans="1:8" ht="17" thickTop="1" x14ac:dyDescent="0.2">
      <c r="A219" s="32" t="s">
        <v>286</v>
      </c>
      <c r="B219" s="33">
        <v>4530</v>
      </c>
      <c r="G219" s="32" t="s">
        <v>776</v>
      </c>
      <c r="H219" s="33">
        <v>14209</v>
      </c>
    </row>
    <row r="220" spans="1:8" x14ac:dyDescent="0.2">
      <c r="A220" s="32" t="s">
        <v>287</v>
      </c>
      <c r="B220" s="33">
        <v>40042</v>
      </c>
      <c r="G220" s="32" t="s">
        <v>777</v>
      </c>
      <c r="H220" s="33">
        <v>1591</v>
      </c>
    </row>
    <row r="221" spans="1:8" x14ac:dyDescent="0.2">
      <c r="A221" s="32" t="s">
        <v>288</v>
      </c>
      <c r="B221" s="33">
        <v>654</v>
      </c>
      <c r="G221" s="32" t="s">
        <v>778</v>
      </c>
      <c r="H221" s="33">
        <v>5341</v>
      </c>
    </row>
    <row r="222" spans="1:8" x14ac:dyDescent="0.2">
      <c r="A222" s="32" t="s">
        <v>289</v>
      </c>
      <c r="B222" s="33">
        <v>6718</v>
      </c>
      <c r="G222" s="32" t="s">
        <v>779</v>
      </c>
      <c r="H222" s="33">
        <v>1000</v>
      </c>
    </row>
    <row r="223" spans="1:8" ht="17" thickBot="1" x14ac:dyDescent="0.25">
      <c r="A223" s="34" t="s">
        <v>290</v>
      </c>
      <c r="B223" s="35">
        <v>5936</v>
      </c>
      <c r="G223" s="34" t="s">
        <v>780</v>
      </c>
      <c r="H223" s="35">
        <v>1259</v>
      </c>
    </row>
    <row r="224" spans="1:8" ht="17" thickTop="1" x14ac:dyDescent="0.2">
      <c r="A224" s="32" t="s">
        <v>291</v>
      </c>
      <c r="B224" s="33">
        <v>3047</v>
      </c>
      <c r="G224" s="32" t="s">
        <v>781</v>
      </c>
      <c r="H224" s="33">
        <v>183</v>
      </c>
    </row>
    <row r="225" spans="1:8" x14ac:dyDescent="0.2">
      <c r="A225" s="32" t="s">
        <v>292</v>
      </c>
      <c r="B225" s="33">
        <v>944</v>
      </c>
      <c r="G225" s="32" t="s">
        <v>782</v>
      </c>
      <c r="H225" s="33">
        <v>56471</v>
      </c>
    </row>
    <row r="226" spans="1:8" x14ac:dyDescent="0.2">
      <c r="A226" s="32" t="s">
        <v>293</v>
      </c>
      <c r="B226" s="33">
        <v>26</v>
      </c>
      <c r="G226" s="32" t="s">
        <v>783</v>
      </c>
      <c r="H226" s="33">
        <v>477</v>
      </c>
    </row>
    <row r="227" spans="1:8" x14ac:dyDescent="0.2">
      <c r="A227" s="32" t="s">
        <v>294</v>
      </c>
      <c r="B227" s="33">
        <v>9336</v>
      </c>
      <c r="G227" s="32" t="s">
        <v>784</v>
      </c>
      <c r="H227" s="33">
        <v>3042</v>
      </c>
    </row>
    <row r="228" spans="1:8" ht="17" thickBot="1" x14ac:dyDescent="0.25">
      <c r="A228" s="34" t="s">
        <v>295</v>
      </c>
      <c r="B228" s="35">
        <v>28772</v>
      </c>
      <c r="G228" s="34" t="s">
        <v>785</v>
      </c>
      <c r="H228" s="35">
        <v>363</v>
      </c>
    </row>
    <row r="229" spans="1:8" ht="17" thickTop="1" x14ac:dyDescent="0.2">
      <c r="A229" s="32" t="s">
        <v>296</v>
      </c>
      <c r="B229" s="33">
        <v>236</v>
      </c>
      <c r="G229" s="32" t="s">
        <v>786</v>
      </c>
      <c r="H229" s="33">
        <v>8457</v>
      </c>
    </row>
    <row r="230" spans="1:8" x14ac:dyDescent="0.2">
      <c r="A230" s="32" t="s">
        <v>297</v>
      </c>
      <c r="B230" s="33">
        <v>2414</v>
      </c>
      <c r="G230" s="32" t="s">
        <v>787</v>
      </c>
      <c r="H230" s="33">
        <v>211</v>
      </c>
    </row>
    <row r="231" spans="1:8" x14ac:dyDescent="0.2">
      <c r="A231" s="32" t="s">
        <v>298</v>
      </c>
      <c r="B231" s="33">
        <v>13870</v>
      </c>
      <c r="G231" s="32" t="s">
        <v>788</v>
      </c>
      <c r="H231" s="33">
        <v>474</v>
      </c>
    </row>
    <row r="232" spans="1:8" x14ac:dyDescent="0.2">
      <c r="A232" s="32" t="s">
        <v>299</v>
      </c>
      <c r="B232" s="33">
        <v>1758</v>
      </c>
      <c r="G232" s="32" t="s">
        <v>789</v>
      </c>
      <c r="H232" s="33">
        <v>29</v>
      </c>
    </row>
    <row r="233" spans="1:8" ht="17" thickBot="1" x14ac:dyDescent="0.25">
      <c r="A233" s="34" t="s">
        <v>300</v>
      </c>
      <c r="B233" s="35">
        <v>2061</v>
      </c>
      <c r="G233" s="34" t="s">
        <v>790</v>
      </c>
      <c r="H233" s="35">
        <v>971</v>
      </c>
    </row>
    <row r="234" spans="1:8" ht="17" thickTop="1" x14ac:dyDescent="0.2">
      <c r="A234" s="32" t="s">
        <v>301</v>
      </c>
      <c r="B234" s="33">
        <v>134</v>
      </c>
      <c r="G234" s="32" t="s">
        <v>791</v>
      </c>
      <c r="H234" s="33">
        <v>2004</v>
      </c>
    </row>
    <row r="235" spans="1:8" x14ac:dyDescent="0.2">
      <c r="A235" s="32" t="s">
        <v>302</v>
      </c>
      <c r="B235" s="33">
        <v>772</v>
      </c>
      <c r="G235" s="32" t="s">
        <v>792</v>
      </c>
      <c r="H235" s="33">
        <v>1126</v>
      </c>
    </row>
    <row r="236" spans="1:8" x14ac:dyDescent="0.2">
      <c r="A236" s="32" t="s">
        <v>303</v>
      </c>
      <c r="B236" s="33">
        <v>998</v>
      </c>
      <c r="G236" s="32" t="s">
        <v>793</v>
      </c>
      <c r="H236" s="33">
        <v>16208</v>
      </c>
    </row>
    <row r="237" spans="1:8" x14ac:dyDescent="0.2">
      <c r="A237" s="32" t="s">
        <v>304</v>
      </c>
      <c r="B237" s="33">
        <v>2448</v>
      </c>
      <c r="G237" s="32" t="s">
        <v>794</v>
      </c>
      <c r="H237" s="33">
        <v>3092</v>
      </c>
    </row>
    <row r="238" spans="1:8" ht="17" thickBot="1" x14ac:dyDescent="0.25">
      <c r="A238" s="34" t="s">
        <v>305</v>
      </c>
      <c r="B238" s="35">
        <v>353</v>
      </c>
      <c r="G238" s="34" t="s">
        <v>795</v>
      </c>
      <c r="H238" s="35">
        <v>1188</v>
      </c>
    </row>
    <row r="239" spans="1:8" ht="17" thickTop="1" x14ac:dyDescent="0.2">
      <c r="A239" s="32" t="s">
        <v>306</v>
      </c>
      <c r="B239" s="33">
        <v>690</v>
      </c>
      <c r="G239" s="32" t="s">
        <v>796</v>
      </c>
      <c r="H239" s="33">
        <v>4471</v>
      </c>
    </row>
    <row r="240" spans="1:8" x14ac:dyDescent="0.2">
      <c r="A240" s="32" t="s">
        <v>307</v>
      </c>
      <c r="B240" s="33">
        <v>23134</v>
      </c>
      <c r="G240" s="32" t="s">
        <v>797</v>
      </c>
      <c r="H240" s="33">
        <v>312</v>
      </c>
    </row>
    <row r="241" spans="1:8" x14ac:dyDescent="0.2">
      <c r="A241" s="32" t="s">
        <v>308</v>
      </c>
      <c r="B241" s="33">
        <v>2086</v>
      </c>
      <c r="G241" s="32" t="s">
        <v>798</v>
      </c>
      <c r="H241" s="33">
        <v>25371</v>
      </c>
    </row>
    <row r="242" spans="1:8" x14ac:dyDescent="0.2">
      <c r="A242" s="32" t="s">
        <v>309</v>
      </c>
      <c r="B242" s="33">
        <v>2188</v>
      </c>
      <c r="G242" s="32" t="s">
        <v>799</v>
      </c>
      <c r="H242" s="33">
        <v>1323</v>
      </c>
    </row>
    <row r="243" spans="1:8" ht="17" thickBot="1" x14ac:dyDescent="0.25">
      <c r="A243" s="34" t="s">
        <v>310</v>
      </c>
      <c r="B243" s="35">
        <v>2809</v>
      </c>
      <c r="G243" s="34" t="s">
        <v>800</v>
      </c>
      <c r="H243" s="35">
        <v>8653</v>
      </c>
    </row>
    <row r="244" spans="1:8" ht="17" thickTop="1" x14ac:dyDescent="0.2">
      <c r="A244" s="32" t="s">
        <v>311</v>
      </c>
      <c r="B244" s="33">
        <v>146</v>
      </c>
      <c r="G244" s="32" t="s">
        <v>801</v>
      </c>
      <c r="H244" s="33">
        <v>16523</v>
      </c>
    </row>
    <row r="245" spans="1:8" x14ac:dyDescent="0.2">
      <c r="A245" s="32" t="s">
        <v>312</v>
      </c>
      <c r="B245" s="33">
        <v>3927</v>
      </c>
      <c r="G245" s="32" t="s">
        <v>802</v>
      </c>
      <c r="H245" s="33">
        <v>661</v>
      </c>
    </row>
    <row r="246" spans="1:8" x14ac:dyDescent="0.2">
      <c r="A246" s="32" t="s">
        <v>313</v>
      </c>
      <c r="B246" s="33">
        <v>1791</v>
      </c>
      <c r="G246" s="32" t="s">
        <v>803</v>
      </c>
      <c r="H246" s="33">
        <v>225</v>
      </c>
    </row>
    <row r="247" spans="1:8" x14ac:dyDescent="0.2">
      <c r="A247" s="32" t="s">
        <v>314</v>
      </c>
      <c r="B247" s="33">
        <v>1970</v>
      </c>
      <c r="G247" s="32" t="s">
        <v>804</v>
      </c>
      <c r="H247" s="33">
        <v>527</v>
      </c>
    </row>
    <row r="248" spans="1:8" ht="17" thickBot="1" x14ac:dyDescent="0.25">
      <c r="A248" s="34" t="s">
        <v>315</v>
      </c>
      <c r="B248" s="35">
        <v>13727</v>
      </c>
      <c r="G248" s="34" t="s">
        <v>805</v>
      </c>
      <c r="H248" s="35">
        <v>423</v>
      </c>
    </row>
    <row r="249" spans="1:8" ht="17" thickTop="1" x14ac:dyDescent="0.2">
      <c r="A249" s="32" t="s">
        <v>316</v>
      </c>
      <c r="B249" s="33">
        <v>417</v>
      </c>
      <c r="G249" s="32" t="s">
        <v>806</v>
      </c>
      <c r="H249" s="33">
        <v>153</v>
      </c>
    </row>
    <row r="250" spans="1:8" x14ac:dyDescent="0.2">
      <c r="A250" s="32" t="s">
        <v>317</v>
      </c>
      <c r="B250" s="33">
        <v>9843</v>
      </c>
      <c r="G250" s="32" t="s">
        <v>807</v>
      </c>
      <c r="H250" s="33">
        <v>65417</v>
      </c>
    </row>
    <row r="251" spans="1:8" x14ac:dyDescent="0.2">
      <c r="A251" s="32" t="s">
        <v>318</v>
      </c>
      <c r="B251" s="33">
        <v>81</v>
      </c>
      <c r="G251" s="32" t="s">
        <v>808</v>
      </c>
      <c r="H251" s="33">
        <v>443</v>
      </c>
    </row>
    <row r="252" spans="1:8" x14ac:dyDescent="0.2">
      <c r="A252" s="32" t="s">
        <v>319</v>
      </c>
      <c r="B252" s="33">
        <v>2156</v>
      </c>
      <c r="G252" s="32" t="s">
        <v>809</v>
      </c>
      <c r="H252" s="33">
        <v>1199</v>
      </c>
    </row>
    <row r="253" spans="1:8" ht="17" thickBot="1" x14ac:dyDescent="0.25">
      <c r="A253" s="34" t="s">
        <v>320</v>
      </c>
      <c r="B253" s="35">
        <v>7008</v>
      </c>
      <c r="G253" s="34" t="s">
        <v>810</v>
      </c>
      <c r="H253" s="35">
        <v>1218</v>
      </c>
    </row>
    <row r="254" spans="1:8" ht="17" thickTop="1" x14ac:dyDescent="0.2">
      <c r="A254" s="32" t="s">
        <v>321</v>
      </c>
      <c r="B254" s="33">
        <v>3847</v>
      </c>
      <c r="G254" s="32" t="s">
        <v>811</v>
      </c>
      <c r="H254" s="33">
        <v>4879</v>
      </c>
    </row>
    <row r="255" spans="1:8" x14ac:dyDescent="0.2">
      <c r="A255" s="32" t="s">
        <v>322</v>
      </c>
      <c r="B255" s="33">
        <v>1806</v>
      </c>
      <c r="G255" s="32" t="s">
        <v>812</v>
      </c>
      <c r="H255" s="33">
        <v>11500</v>
      </c>
    </row>
    <row r="256" spans="1:8" x14ac:dyDescent="0.2">
      <c r="A256" s="32" t="s">
        <v>323</v>
      </c>
      <c r="B256" s="33">
        <v>24694</v>
      </c>
      <c r="G256" s="32" t="s">
        <v>12</v>
      </c>
      <c r="H256" s="33">
        <v>738441</v>
      </c>
    </row>
    <row r="257" spans="1:8" x14ac:dyDescent="0.2">
      <c r="A257" s="32" t="s">
        <v>324</v>
      </c>
      <c r="B257" s="33">
        <v>206</v>
      </c>
      <c r="G257" s="32" t="s">
        <v>813</v>
      </c>
      <c r="H257" s="33">
        <v>3111</v>
      </c>
    </row>
    <row r="258" spans="1:8" ht="17" thickBot="1" x14ac:dyDescent="0.25">
      <c r="A258" s="34" t="s">
        <v>325</v>
      </c>
      <c r="B258" s="35">
        <v>5557</v>
      </c>
      <c r="G258" s="34" t="s">
        <v>814</v>
      </c>
      <c r="H258" s="35">
        <v>213</v>
      </c>
    </row>
    <row r="259" spans="1:8" ht="17" thickTop="1" x14ac:dyDescent="0.2">
      <c r="A259" s="32" t="s">
        <v>326</v>
      </c>
      <c r="B259" s="33">
        <v>112992</v>
      </c>
      <c r="G259" s="32" t="s">
        <v>815</v>
      </c>
      <c r="H259" s="33">
        <v>96</v>
      </c>
    </row>
    <row r="260" spans="1:8" x14ac:dyDescent="0.2">
      <c r="A260" s="32" t="s">
        <v>327</v>
      </c>
      <c r="B260" s="33">
        <v>1973</v>
      </c>
      <c r="G260" s="32" t="s">
        <v>816</v>
      </c>
      <c r="H260" s="33">
        <v>1516</v>
      </c>
    </row>
    <row r="261" spans="1:8" x14ac:dyDescent="0.2">
      <c r="A261" s="32" t="s">
        <v>328</v>
      </c>
      <c r="B261" s="33">
        <v>863</v>
      </c>
      <c r="G261" s="32" t="s">
        <v>817</v>
      </c>
      <c r="H261" s="33">
        <v>6119</v>
      </c>
    </row>
    <row r="262" spans="1:8" x14ac:dyDescent="0.2">
      <c r="A262" s="32" t="s">
        <v>329</v>
      </c>
      <c r="B262" s="33">
        <v>4950</v>
      </c>
      <c r="G262" s="32" t="s">
        <v>818</v>
      </c>
      <c r="H262" s="33">
        <v>3696</v>
      </c>
    </row>
    <row r="263" spans="1:8" ht="17" thickBot="1" x14ac:dyDescent="0.25">
      <c r="A263" s="34" t="s">
        <v>330</v>
      </c>
      <c r="B263" s="35">
        <v>317</v>
      </c>
      <c r="G263" s="34" t="s">
        <v>819</v>
      </c>
      <c r="H263" s="35">
        <v>7205</v>
      </c>
    </row>
    <row r="264" spans="1:8" ht="17" thickTop="1" x14ac:dyDescent="0.2">
      <c r="A264" s="32" t="s">
        <v>331</v>
      </c>
      <c r="B264" s="33">
        <v>9064</v>
      </c>
      <c r="G264" s="32" t="s">
        <v>820</v>
      </c>
      <c r="H264" s="33">
        <v>3466</v>
      </c>
    </row>
    <row r="265" spans="1:8" x14ac:dyDescent="0.2">
      <c r="A265" s="32" t="s">
        <v>332</v>
      </c>
      <c r="B265" s="33">
        <v>5042</v>
      </c>
      <c r="G265" s="32" t="s">
        <v>821</v>
      </c>
      <c r="H265" s="33">
        <v>666</v>
      </c>
    </row>
    <row r="266" spans="1:8" x14ac:dyDescent="0.2">
      <c r="A266" s="32" t="s">
        <v>333</v>
      </c>
      <c r="B266" s="33">
        <v>178</v>
      </c>
      <c r="G266" s="32" t="s">
        <v>822</v>
      </c>
      <c r="H266" s="33">
        <v>2431</v>
      </c>
    </row>
    <row r="267" spans="1:8" x14ac:dyDescent="0.2">
      <c r="A267" s="32" t="s">
        <v>334</v>
      </c>
      <c r="B267" s="33">
        <v>2165</v>
      </c>
      <c r="G267" s="32" t="s">
        <v>823</v>
      </c>
      <c r="H267" s="33">
        <v>25736</v>
      </c>
    </row>
    <row r="268" spans="1:8" ht="17" thickBot="1" x14ac:dyDescent="0.25">
      <c r="A268" s="34" t="s">
        <v>335</v>
      </c>
      <c r="B268" s="35">
        <v>690</v>
      </c>
      <c r="G268" s="34" t="s">
        <v>824</v>
      </c>
      <c r="H268" s="35">
        <v>5142</v>
      </c>
    </row>
    <row r="269" spans="1:8" ht="17" thickTop="1" x14ac:dyDescent="0.2">
      <c r="A269" s="32" t="s">
        <v>336</v>
      </c>
      <c r="B269" s="33">
        <v>156</v>
      </c>
      <c r="G269" s="32" t="s">
        <v>825</v>
      </c>
      <c r="H269" s="33">
        <v>1882</v>
      </c>
    </row>
    <row r="270" spans="1:8" x14ac:dyDescent="0.2">
      <c r="A270" s="32" t="s">
        <v>337</v>
      </c>
      <c r="B270" s="33">
        <v>98</v>
      </c>
      <c r="G270" s="32" t="s">
        <v>826</v>
      </c>
      <c r="H270" s="33">
        <v>26710</v>
      </c>
    </row>
    <row r="271" spans="1:8" x14ac:dyDescent="0.2">
      <c r="A271" s="32" t="s">
        <v>338</v>
      </c>
      <c r="B271" s="33">
        <v>6442</v>
      </c>
      <c r="G271" s="32" t="s">
        <v>827</v>
      </c>
      <c r="H271" s="33">
        <v>1949</v>
      </c>
    </row>
    <row r="272" spans="1:8" x14ac:dyDescent="0.2">
      <c r="A272" s="32" t="s">
        <v>339</v>
      </c>
      <c r="B272" s="33">
        <v>990</v>
      </c>
      <c r="G272" s="32" t="s">
        <v>828</v>
      </c>
      <c r="H272" s="33">
        <v>252</v>
      </c>
    </row>
    <row r="273" spans="1:8" ht="17" thickBot="1" x14ac:dyDescent="0.25">
      <c r="A273" s="34" t="s">
        <v>340</v>
      </c>
      <c r="B273" s="35">
        <v>20479</v>
      </c>
      <c r="G273" s="34" t="s">
        <v>829</v>
      </c>
      <c r="H273" s="35">
        <v>392</v>
      </c>
    </row>
    <row r="274" spans="1:8" ht="17" thickTop="1" x14ac:dyDescent="0.2">
      <c r="A274" s="32" t="s">
        <v>341</v>
      </c>
      <c r="B274" s="33">
        <v>2090</v>
      </c>
    </row>
    <row r="275" spans="1:8" x14ac:dyDescent="0.2">
      <c r="A275" s="32" t="s">
        <v>342</v>
      </c>
      <c r="B275" s="33">
        <v>5492</v>
      </c>
    </row>
    <row r="276" spans="1:8" x14ac:dyDescent="0.2">
      <c r="A276" s="32" t="s">
        <v>343</v>
      </c>
      <c r="B276" s="33">
        <v>5921</v>
      </c>
    </row>
    <row r="277" spans="1:8" x14ac:dyDescent="0.2">
      <c r="A277" s="32" t="s">
        <v>344</v>
      </c>
      <c r="B277" s="33">
        <v>2578</v>
      </c>
    </row>
    <row r="278" spans="1:8" ht="17" thickBot="1" x14ac:dyDescent="0.25">
      <c r="A278" s="34" t="s">
        <v>345</v>
      </c>
      <c r="B278" s="35">
        <v>19893</v>
      </c>
    </row>
    <row r="279" spans="1:8" ht="17" thickTop="1" x14ac:dyDescent="0.2">
      <c r="A279" s="32" t="s">
        <v>346</v>
      </c>
      <c r="B279" s="33">
        <v>87</v>
      </c>
    </row>
    <row r="280" spans="1:8" x14ac:dyDescent="0.2">
      <c r="A280" s="32" t="s">
        <v>347</v>
      </c>
      <c r="B280" s="33">
        <v>182</v>
      </c>
    </row>
    <row r="281" spans="1:8" x14ac:dyDescent="0.2">
      <c r="A281" s="32" t="s">
        <v>348</v>
      </c>
      <c r="B281" s="33">
        <v>2576</v>
      </c>
    </row>
    <row r="282" spans="1:8" x14ac:dyDescent="0.2">
      <c r="A282" s="32" t="s">
        <v>349</v>
      </c>
      <c r="B282" s="33">
        <v>6022</v>
      </c>
    </row>
    <row r="283" spans="1:8" ht="17" thickBot="1" x14ac:dyDescent="0.25">
      <c r="A283" s="34" t="s">
        <v>350</v>
      </c>
      <c r="B283" s="35">
        <v>217</v>
      </c>
    </row>
    <row r="284" spans="1:8" ht="17" thickTop="1" x14ac:dyDescent="0.2">
      <c r="A284" s="32" t="s">
        <v>351</v>
      </c>
      <c r="B284" s="33">
        <v>100</v>
      </c>
    </row>
    <row r="285" spans="1:8" x14ac:dyDescent="0.2">
      <c r="A285" s="32" t="s">
        <v>352</v>
      </c>
      <c r="B285" s="33">
        <v>5270</v>
      </c>
    </row>
    <row r="286" spans="1:8" x14ac:dyDescent="0.2">
      <c r="A286" s="32" t="s">
        <v>353</v>
      </c>
      <c r="B286" s="33">
        <v>273</v>
      </c>
    </row>
    <row r="287" spans="1:8" x14ac:dyDescent="0.2">
      <c r="A287" s="32" t="s">
        <v>354</v>
      </c>
      <c r="B287" s="33">
        <v>146</v>
      </c>
    </row>
    <row r="288" spans="1:8" ht="17" thickBot="1" x14ac:dyDescent="0.25">
      <c r="A288" s="34" t="s">
        <v>355</v>
      </c>
      <c r="B288" s="35">
        <v>5450</v>
      </c>
    </row>
    <row r="289" spans="1:2" ht="17" thickTop="1" x14ac:dyDescent="0.2">
      <c r="A289" s="32" t="s">
        <v>356</v>
      </c>
      <c r="B289" s="33">
        <v>173775</v>
      </c>
    </row>
    <row r="290" spans="1:2" x14ac:dyDescent="0.2">
      <c r="A290" s="32" t="s">
        <v>357</v>
      </c>
      <c r="B290" s="33">
        <v>6082</v>
      </c>
    </row>
    <row r="291" spans="1:2" x14ac:dyDescent="0.2">
      <c r="A291" s="32" t="s">
        <v>358</v>
      </c>
      <c r="B291" s="33">
        <v>6072</v>
      </c>
    </row>
    <row r="292" spans="1:2" x14ac:dyDescent="0.2">
      <c r="A292" s="32" t="s">
        <v>359</v>
      </c>
      <c r="B292" s="33">
        <v>10116</v>
      </c>
    </row>
    <row r="293" spans="1:2" ht="17" thickBot="1" x14ac:dyDescent="0.25">
      <c r="A293" s="34" t="s">
        <v>360</v>
      </c>
      <c r="B293" s="35">
        <v>12286</v>
      </c>
    </row>
    <row r="294" spans="1:2" ht="17" thickTop="1" x14ac:dyDescent="0.2">
      <c r="A294" s="32" t="s">
        <v>361</v>
      </c>
      <c r="B294" s="33">
        <v>2519</v>
      </c>
    </row>
    <row r="295" spans="1:2" x14ac:dyDescent="0.2">
      <c r="A295" s="32" t="s">
        <v>362</v>
      </c>
      <c r="B295" s="33">
        <v>1123</v>
      </c>
    </row>
    <row r="296" spans="1:2" x14ac:dyDescent="0.2">
      <c r="A296" s="32" t="s">
        <v>363</v>
      </c>
      <c r="B296" s="33">
        <v>1713</v>
      </c>
    </row>
    <row r="297" spans="1:2" x14ac:dyDescent="0.2">
      <c r="A297" s="32" t="s">
        <v>364</v>
      </c>
      <c r="B297" s="33">
        <v>3759</v>
      </c>
    </row>
    <row r="298" spans="1:2" ht="17" thickBot="1" x14ac:dyDescent="0.25">
      <c r="A298" s="34" t="s">
        <v>365</v>
      </c>
      <c r="B298" s="35">
        <v>1252</v>
      </c>
    </row>
    <row r="299" spans="1:2" ht="17" thickTop="1" x14ac:dyDescent="0.2">
      <c r="A299" s="32" t="s">
        <v>366</v>
      </c>
      <c r="B299" s="33">
        <v>3173</v>
      </c>
    </row>
    <row r="300" spans="1:2" x14ac:dyDescent="0.2">
      <c r="A300" s="32" t="s">
        <v>367</v>
      </c>
      <c r="B300" s="33">
        <v>1027</v>
      </c>
    </row>
    <row r="301" spans="1:2" x14ac:dyDescent="0.2">
      <c r="A301" s="32" t="s">
        <v>368</v>
      </c>
      <c r="B301" s="33">
        <v>254</v>
      </c>
    </row>
    <row r="302" spans="1:2" x14ac:dyDescent="0.2">
      <c r="A302" s="32" t="s">
        <v>369</v>
      </c>
      <c r="B302" s="33">
        <v>1430</v>
      </c>
    </row>
    <row r="303" spans="1:2" ht="17" thickBot="1" x14ac:dyDescent="0.25">
      <c r="A303" s="34" t="s">
        <v>370</v>
      </c>
      <c r="B303" s="35">
        <v>9866</v>
      </c>
    </row>
    <row r="304" spans="1:2" ht="17" thickTop="1" x14ac:dyDescent="0.2">
      <c r="A304" s="32" t="s">
        <v>371</v>
      </c>
      <c r="B304" s="33">
        <v>1545</v>
      </c>
    </row>
    <row r="305" spans="1:2" x14ac:dyDescent="0.2">
      <c r="A305" s="32" t="s">
        <v>372</v>
      </c>
      <c r="B305" s="33">
        <v>157</v>
      </c>
    </row>
    <row r="306" spans="1:2" x14ac:dyDescent="0.2">
      <c r="A306" s="32" t="s">
        <v>373</v>
      </c>
      <c r="B306" s="33">
        <v>32703</v>
      </c>
    </row>
    <row r="307" spans="1:2" x14ac:dyDescent="0.2">
      <c r="A307" s="32" t="s">
        <v>374</v>
      </c>
      <c r="B307" s="33">
        <v>530</v>
      </c>
    </row>
    <row r="308" spans="1:2" ht="17" thickBot="1" x14ac:dyDescent="0.25">
      <c r="A308" s="34" t="s">
        <v>375</v>
      </c>
      <c r="B308" s="35">
        <v>56841</v>
      </c>
    </row>
    <row r="309" spans="1:2" ht="17" thickTop="1" x14ac:dyDescent="0.2">
      <c r="A309" s="32" t="s">
        <v>376</v>
      </c>
      <c r="B309" s="33">
        <v>6383</v>
      </c>
    </row>
    <row r="310" spans="1:2" x14ac:dyDescent="0.2">
      <c r="A310" s="32" t="s">
        <v>377</v>
      </c>
      <c r="B310" s="33">
        <v>31248</v>
      </c>
    </row>
    <row r="311" spans="1:2" x14ac:dyDescent="0.2">
      <c r="A311" s="32" t="s">
        <v>378</v>
      </c>
      <c r="B311" s="33">
        <v>491</v>
      </c>
    </row>
    <row r="312" spans="1:2" x14ac:dyDescent="0.2">
      <c r="A312" s="32" t="s">
        <v>379</v>
      </c>
      <c r="B312" s="33">
        <v>332</v>
      </c>
    </row>
    <row r="313" spans="1:2" ht="17" thickBot="1" x14ac:dyDescent="0.25">
      <c r="A313" s="34" t="s">
        <v>380</v>
      </c>
      <c r="B313" s="35">
        <v>10194</v>
      </c>
    </row>
    <row r="314" spans="1:2" ht="17" thickTop="1" x14ac:dyDescent="0.2">
      <c r="A314" s="32" t="s">
        <v>381</v>
      </c>
      <c r="B314" s="33">
        <v>2540</v>
      </c>
    </row>
    <row r="315" spans="1:2" x14ac:dyDescent="0.2">
      <c r="A315" s="32" t="s">
        <v>382</v>
      </c>
      <c r="B315" s="33">
        <v>54230</v>
      </c>
    </row>
    <row r="316" spans="1:2" x14ac:dyDescent="0.2">
      <c r="A316" s="32" t="s">
        <v>383</v>
      </c>
      <c r="B316" s="33">
        <v>7904</v>
      </c>
    </row>
    <row r="317" spans="1:2" x14ac:dyDescent="0.2">
      <c r="A317" s="32" t="s">
        <v>384</v>
      </c>
      <c r="B317" s="33">
        <v>17369</v>
      </c>
    </row>
    <row r="318" spans="1:2" x14ac:dyDescent="0.2">
      <c r="A318" s="32" t="s">
        <v>385</v>
      </c>
      <c r="B318" s="33">
        <v>917</v>
      </c>
    </row>
    <row r="319" spans="1:2" ht="17" thickBot="1" x14ac:dyDescent="0.25">
      <c r="A319" s="34" t="s">
        <v>386</v>
      </c>
      <c r="B319" s="35">
        <v>189</v>
      </c>
    </row>
    <row r="320" spans="1:2" ht="17" thickTop="1" x14ac:dyDescent="0.2">
      <c r="A320" s="32"/>
      <c r="B320" s="32"/>
    </row>
    <row r="321" spans="1:2" x14ac:dyDescent="0.2">
      <c r="A321" s="32"/>
      <c r="B321" s="32"/>
    </row>
    <row r="322" spans="1:2" x14ac:dyDescent="0.2">
      <c r="A322" s="32"/>
      <c r="B322" s="32"/>
    </row>
    <row r="323" spans="1:2" x14ac:dyDescent="0.2">
      <c r="A323" s="32"/>
      <c r="B323" s="33"/>
    </row>
    <row r="324" spans="1:2" x14ac:dyDescent="0.2">
      <c r="A324" s="32"/>
      <c r="B324" s="32"/>
    </row>
    <row r="325" spans="1:2" x14ac:dyDescent="0.2">
      <c r="A325" s="32"/>
      <c r="B325" s="32"/>
    </row>
    <row r="326" spans="1:2" x14ac:dyDescent="0.2">
      <c r="A326" s="32"/>
      <c r="B326" s="32"/>
    </row>
    <row r="327" spans="1:2" x14ac:dyDescent="0.2">
      <c r="A327" s="32"/>
      <c r="B327" s="32"/>
    </row>
    <row r="328" spans="1:2" x14ac:dyDescent="0.2">
      <c r="A328" s="32"/>
      <c r="B328" s="33"/>
    </row>
    <row r="329" spans="1:2" x14ac:dyDescent="0.2">
      <c r="A329" s="32"/>
      <c r="B329" s="32"/>
    </row>
    <row r="330" spans="1:2" x14ac:dyDescent="0.2">
      <c r="A330" s="32"/>
      <c r="B330" s="32"/>
    </row>
    <row r="331" spans="1:2" x14ac:dyDescent="0.2">
      <c r="A331" s="32"/>
      <c r="B331" s="32"/>
    </row>
    <row r="332" spans="1:2" x14ac:dyDescent="0.2">
      <c r="A332" s="32"/>
      <c r="B332" s="32"/>
    </row>
    <row r="333" spans="1:2" x14ac:dyDescent="0.2">
      <c r="A333" s="32"/>
      <c r="B333" s="33"/>
    </row>
    <row r="334" spans="1:2" x14ac:dyDescent="0.2">
      <c r="A334" s="32"/>
      <c r="B334" s="32"/>
    </row>
    <row r="335" spans="1:2" x14ac:dyDescent="0.2">
      <c r="A335" s="32"/>
      <c r="B335" s="32"/>
    </row>
    <row r="336" spans="1:2" x14ac:dyDescent="0.2">
      <c r="A336" s="32"/>
      <c r="B336" s="32"/>
    </row>
    <row r="337" spans="1:2" x14ac:dyDescent="0.2">
      <c r="A337" s="32"/>
      <c r="B337" s="32"/>
    </row>
    <row r="338" spans="1:2" x14ac:dyDescent="0.2">
      <c r="A338" s="32"/>
      <c r="B338" s="33"/>
    </row>
    <row r="339" spans="1:2" x14ac:dyDescent="0.2">
      <c r="A339" s="32"/>
      <c r="B339" s="32"/>
    </row>
    <row r="340" spans="1:2" x14ac:dyDescent="0.2">
      <c r="A340" s="32"/>
      <c r="B340" s="32"/>
    </row>
    <row r="341" spans="1:2" x14ac:dyDescent="0.2">
      <c r="A341" s="32"/>
      <c r="B341" s="32"/>
    </row>
    <row r="342" spans="1:2" x14ac:dyDescent="0.2">
      <c r="A342" s="32"/>
      <c r="B342" s="32"/>
    </row>
    <row r="343" spans="1:2" x14ac:dyDescent="0.2">
      <c r="A343" s="32"/>
      <c r="B343" s="33"/>
    </row>
    <row r="344" spans="1:2" x14ac:dyDescent="0.2">
      <c r="A344" s="32"/>
      <c r="B344" s="32"/>
    </row>
    <row r="345" spans="1:2" x14ac:dyDescent="0.2">
      <c r="A345" s="32"/>
      <c r="B345" s="32"/>
    </row>
    <row r="346" spans="1:2" x14ac:dyDescent="0.2">
      <c r="A346" s="32"/>
      <c r="B346" s="32"/>
    </row>
    <row r="347" spans="1:2" x14ac:dyDescent="0.2">
      <c r="A347" s="32"/>
      <c r="B347" s="32"/>
    </row>
    <row r="348" spans="1:2" x14ac:dyDescent="0.2">
      <c r="A348" s="32"/>
      <c r="B348" s="33"/>
    </row>
    <row r="349" spans="1:2" x14ac:dyDescent="0.2">
      <c r="A349" s="32"/>
      <c r="B349" s="32"/>
    </row>
    <row r="350" spans="1:2" x14ac:dyDescent="0.2">
      <c r="A350" s="32"/>
      <c r="B350" s="32"/>
    </row>
    <row r="351" spans="1:2" x14ac:dyDescent="0.2">
      <c r="A351" s="32"/>
      <c r="B351" s="32"/>
    </row>
    <row r="352" spans="1:2" x14ac:dyDescent="0.2">
      <c r="A352" s="32"/>
      <c r="B352" s="32"/>
    </row>
    <row r="353" spans="1:2" x14ac:dyDescent="0.2">
      <c r="A353" s="32"/>
      <c r="B353" s="33"/>
    </row>
    <row r="354" spans="1:2" x14ac:dyDescent="0.2">
      <c r="A354" s="32"/>
      <c r="B354" s="32"/>
    </row>
    <row r="355" spans="1:2" x14ac:dyDescent="0.2">
      <c r="A355" s="32"/>
      <c r="B355" s="32"/>
    </row>
    <row r="356" spans="1:2" x14ac:dyDescent="0.2">
      <c r="A356" s="32"/>
      <c r="B356" s="32"/>
    </row>
    <row r="357" spans="1:2" x14ac:dyDescent="0.2">
      <c r="A357" s="32"/>
      <c r="B357" s="32"/>
    </row>
    <row r="358" spans="1:2" x14ac:dyDescent="0.2">
      <c r="A358" s="32"/>
      <c r="B358" s="33"/>
    </row>
    <row r="359" spans="1:2" x14ac:dyDescent="0.2">
      <c r="A359" s="32"/>
      <c r="B359" s="32"/>
    </row>
    <row r="360" spans="1:2" x14ac:dyDescent="0.2">
      <c r="A360" s="32"/>
      <c r="B360" s="32"/>
    </row>
    <row r="361" spans="1:2" x14ac:dyDescent="0.2">
      <c r="A361" s="32"/>
      <c r="B361" s="32"/>
    </row>
    <row r="362" spans="1:2" x14ac:dyDescent="0.2">
      <c r="A362" s="32"/>
      <c r="B362" s="32"/>
    </row>
    <row r="363" spans="1:2" x14ac:dyDescent="0.2">
      <c r="A363" s="32"/>
      <c r="B363" s="33"/>
    </row>
    <row r="364" spans="1:2" x14ac:dyDescent="0.2">
      <c r="A364" s="32"/>
      <c r="B364" s="32"/>
    </row>
    <row r="365" spans="1:2" x14ac:dyDescent="0.2">
      <c r="A365" s="32"/>
      <c r="B365" s="32"/>
    </row>
    <row r="366" spans="1:2" x14ac:dyDescent="0.2">
      <c r="A366" s="32"/>
      <c r="B366" s="32"/>
    </row>
    <row r="367" spans="1:2" x14ac:dyDescent="0.2">
      <c r="A367" s="32"/>
      <c r="B367" s="32"/>
    </row>
    <row r="368" spans="1:2" x14ac:dyDescent="0.2">
      <c r="A368" s="32"/>
      <c r="B368" s="33"/>
    </row>
    <row r="369" spans="1:2" x14ac:dyDescent="0.2">
      <c r="A369" s="32"/>
      <c r="B369" s="32"/>
    </row>
    <row r="370" spans="1:2" x14ac:dyDescent="0.2">
      <c r="A370" s="32"/>
      <c r="B370" s="32"/>
    </row>
    <row r="371" spans="1:2" x14ac:dyDescent="0.2">
      <c r="A371" s="32"/>
      <c r="B371" s="32"/>
    </row>
    <row r="372" spans="1:2" x14ac:dyDescent="0.2">
      <c r="A372" s="32"/>
      <c r="B372" s="32"/>
    </row>
    <row r="373" spans="1:2" x14ac:dyDescent="0.2">
      <c r="A373" s="32"/>
      <c r="B373" s="33"/>
    </row>
    <row r="374" spans="1:2" x14ac:dyDescent="0.2">
      <c r="A374" s="32"/>
      <c r="B374" s="32"/>
    </row>
    <row r="375" spans="1:2" x14ac:dyDescent="0.2">
      <c r="A375" s="32"/>
      <c r="B375" s="32"/>
    </row>
    <row r="376" spans="1:2" x14ac:dyDescent="0.2">
      <c r="A376" s="32"/>
      <c r="B376" s="32"/>
    </row>
    <row r="377" spans="1:2" x14ac:dyDescent="0.2">
      <c r="A377" s="32"/>
      <c r="B377" s="32"/>
    </row>
    <row r="378" spans="1:2" x14ac:dyDescent="0.2">
      <c r="A378" s="32"/>
      <c r="B378" s="33"/>
    </row>
    <row r="379" spans="1:2" x14ac:dyDescent="0.2">
      <c r="A379" s="32"/>
      <c r="B379" s="32"/>
    </row>
    <row r="380" spans="1:2" x14ac:dyDescent="0.2">
      <c r="A380" s="32"/>
      <c r="B380" s="32"/>
    </row>
    <row r="381" spans="1:2" x14ac:dyDescent="0.2">
      <c r="A381" s="32"/>
      <c r="B381" s="32"/>
    </row>
    <row r="382" spans="1:2" x14ac:dyDescent="0.2">
      <c r="A382" s="32"/>
      <c r="B382" s="32"/>
    </row>
    <row r="383" spans="1:2" x14ac:dyDescent="0.2">
      <c r="A383" s="32"/>
      <c r="B383" s="32"/>
    </row>
    <row r="384" spans="1:2" x14ac:dyDescent="0.2">
      <c r="A384" s="32"/>
      <c r="B384" s="32"/>
    </row>
    <row r="385" spans="1:2" x14ac:dyDescent="0.2">
      <c r="A385" s="32"/>
      <c r="B385" s="32"/>
    </row>
    <row r="386" spans="1:2" x14ac:dyDescent="0.2">
      <c r="A386" s="32"/>
      <c r="B386" s="32"/>
    </row>
    <row r="387" spans="1:2" x14ac:dyDescent="0.2">
      <c r="A387" s="32"/>
      <c r="B387" s="32"/>
    </row>
    <row r="388" spans="1:2" x14ac:dyDescent="0.2">
      <c r="A388" s="32"/>
      <c r="B388" s="32"/>
    </row>
    <row r="389" spans="1:2" x14ac:dyDescent="0.2">
      <c r="A389" s="32"/>
      <c r="B389" s="32"/>
    </row>
    <row r="390" spans="1:2" x14ac:dyDescent="0.2">
      <c r="A390" s="32"/>
      <c r="B390" s="32"/>
    </row>
    <row r="391" spans="1:2" x14ac:dyDescent="0.2">
      <c r="A391" s="32"/>
      <c r="B391" s="32"/>
    </row>
    <row r="392" spans="1:2" x14ac:dyDescent="0.2">
      <c r="A392" s="32"/>
      <c r="B392" s="32"/>
    </row>
    <row r="393" spans="1:2" x14ac:dyDescent="0.2">
      <c r="A393" s="32"/>
      <c r="B393" s="32"/>
    </row>
    <row r="394" spans="1:2" x14ac:dyDescent="0.2">
      <c r="A394" s="32"/>
      <c r="B394" s="32"/>
    </row>
    <row r="395" spans="1:2" x14ac:dyDescent="0.2">
      <c r="A395" s="32"/>
      <c r="B395" s="32"/>
    </row>
    <row r="396" spans="1:2" x14ac:dyDescent="0.2">
      <c r="A396" s="32"/>
      <c r="B396" s="32"/>
    </row>
    <row r="397" spans="1:2" x14ac:dyDescent="0.2">
      <c r="A397" s="32"/>
      <c r="B397" s="32"/>
    </row>
    <row r="398" spans="1:2" x14ac:dyDescent="0.2">
      <c r="A398" s="32"/>
      <c r="B398" s="32"/>
    </row>
    <row r="399" spans="1:2" x14ac:dyDescent="0.2">
      <c r="A399" s="32"/>
      <c r="B399" s="32"/>
    </row>
    <row r="400" spans="1:2" x14ac:dyDescent="0.2">
      <c r="A400" s="32"/>
      <c r="B400" s="32"/>
    </row>
    <row r="401" spans="1:2" x14ac:dyDescent="0.2">
      <c r="A401" s="32"/>
      <c r="B401" s="32"/>
    </row>
    <row r="402" spans="1:2" x14ac:dyDescent="0.2">
      <c r="A402" s="32"/>
      <c r="B402" s="32"/>
    </row>
    <row r="403" spans="1:2" x14ac:dyDescent="0.2">
      <c r="A403" s="32"/>
      <c r="B403" s="32"/>
    </row>
    <row r="404" spans="1:2" x14ac:dyDescent="0.2">
      <c r="A404" s="32"/>
      <c r="B404" s="32"/>
    </row>
    <row r="405" spans="1:2" x14ac:dyDescent="0.2">
      <c r="A405" s="32"/>
      <c r="B405" s="32"/>
    </row>
    <row r="406" spans="1:2" x14ac:dyDescent="0.2">
      <c r="A406" s="32"/>
      <c r="B406" s="32"/>
    </row>
    <row r="407" spans="1:2" x14ac:dyDescent="0.2">
      <c r="A407" s="32"/>
      <c r="B407" s="32"/>
    </row>
    <row r="408" spans="1:2" x14ac:dyDescent="0.2">
      <c r="A408" s="32"/>
      <c r="B408" s="32"/>
    </row>
    <row r="409" spans="1:2" x14ac:dyDescent="0.2">
      <c r="A409" s="32"/>
      <c r="B409" s="32"/>
    </row>
    <row r="410" spans="1:2" x14ac:dyDescent="0.2">
      <c r="A410" s="32"/>
      <c r="B410" s="32"/>
    </row>
    <row r="411" spans="1:2" x14ac:dyDescent="0.2">
      <c r="A411" s="32"/>
      <c r="B411" s="32"/>
    </row>
    <row r="412" spans="1:2" x14ac:dyDescent="0.2">
      <c r="A412" s="32"/>
      <c r="B412" s="32"/>
    </row>
    <row r="413" spans="1:2" x14ac:dyDescent="0.2">
      <c r="A413" s="32"/>
      <c r="B413" s="32"/>
    </row>
    <row r="414" spans="1:2" x14ac:dyDescent="0.2">
      <c r="A414" s="32"/>
      <c r="B414" s="32"/>
    </row>
    <row r="415" spans="1:2" x14ac:dyDescent="0.2">
      <c r="A415" s="32"/>
      <c r="B415" s="32"/>
    </row>
    <row r="416" spans="1:2" x14ac:dyDescent="0.2">
      <c r="A416" s="32"/>
      <c r="B416" s="32"/>
    </row>
    <row r="417" spans="1:2" x14ac:dyDescent="0.2">
      <c r="A417" s="32"/>
      <c r="B417" s="32"/>
    </row>
    <row r="418" spans="1:2" x14ac:dyDescent="0.2">
      <c r="A418" s="32"/>
      <c r="B418" s="32"/>
    </row>
    <row r="419" spans="1:2" x14ac:dyDescent="0.2">
      <c r="A419" s="32"/>
      <c r="B419" s="32"/>
    </row>
    <row r="420" spans="1:2" x14ac:dyDescent="0.2">
      <c r="A420" s="32"/>
      <c r="B420" s="32"/>
    </row>
    <row r="421" spans="1:2" x14ac:dyDescent="0.2">
      <c r="A421" s="32"/>
      <c r="B421" s="32"/>
    </row>
    <row r="422" spans="1:2" x14ac:dyDescent="0.2">
      <c r="A422" s="32"/>
      <c r="B422" s="32"/>
    </row>
    <row r="423" spans="1:2" x14ac:dyDescent="0.2">
      <c r="A423" s="32"/>
      <c r="B423" s="32"/>
    </row>
    <row r="424" spans="1:2" x14ac:dyDescent="0.2">
      <c r="A424" s="32"/>
      <c r="B424" s="33"/>
    </row>
    <row r="425" spans="1:2" x14ac:dyDescent="0.2">
      <c r="A425" s="32"/>
      <c r="B425" s="32"/>
    </row>
    <row r="426" spans="1:2" x14ac:dyDescent="0.2">
      <c r="A426" s="32"/>
      <c r="B426" s="32"/>
    </row>
    <row r="427" spans="1:2" x14ac:dyDescent="0.2">
      <c r="A427" s="32"/>
      <c r="B427" s="32"/>
    </row>
    <row r="428" spans="1:2" x14ac:dyDescent="0.2">
      <c r="A428" s="32"/>
      <c r="B428" s="32"/>
    </row>
    <row r="429" spans="1:2" x14ac:dyDescent="0.2">
      <c r="A429" s="32"/>
      <c r="B429" s="32"/>
    </row>
    <row r="430" spans="1:2" x14ac:dyDescent="0.2">
      <c r="A430" s="32"/>
      <c r="B430" s="32"/>
    </row>
    <row r="431" spans="1:2" x14ac:dyDescent="0.2">
      <c r="A431" s="32"/>
      <c r="B431" s="32"/>
    </row>
    <row r="432" spans="1:2" x14ac:dyDescent="0.2">
      <c r="A432" s="32"/>
      <c r="B432" s="32"/>
    </row>
    <row r="433" spans="1:2" x14ac:dyDescent="0.2">
      <c r="A433" s="32"/>
      <c r="B433" s="32"/>
    </row>
    <row r="434" spans="1:2" x14ac:dyDescent="0.2">
      <c r="A434" s="32"/>
      <c r="B434" s="32"/>
    </row>
    <row r="435" spans="1:2" x14ac:dyDescent="0.2">
      <c r="A435" s="32"/>
      <c r="B435" s="32"/>
    </row>
    <row r="436" spans="1:2" x14ac:dyDescent="0.2">
      <c r="A436" s="32"/>
      <c r="B436" s="32"/>
    </row>
    <row r="437" spans="1:2" x14ac:dyDescent="0.2">
      <c r="A437" s="32"/>
      <c r="B437" s="32"/>
    </row>
    <row r="438" spans="1:2" x14ac:dyDescent="0.2">
      <c r="A438" s="32"/>
      <c r="B438" s="32"/>
    </row>
    <row r="439" spans="1:2" x14ac:dyDescent="0.2">
      <c r="A439" s="32"/>
      <c r="B439" s="32"/>
    </row>
    <row r="440" spans="1:2" x14ac:dyDescent="0.2">
      <c r="A440" s="32"/>
      <c r="B440" s="32"/>
    </row>
    <row r="441" spans="1:2" x14ac:dyDescent="0.2">
      <c r="A441" s="32"/>
      <c r="B441" s="32"/>
    </row>
    <row r="442" spans="1:2" x14ac:dyDescent="0.2">
      <c r="A442" s="32"/>
      <c r="B442" s="32"/>
    </row>
    <row r="443" spans="1:2" x14ac:dyDescent="0.2">
      <c r="A443" s="32"/>
      <c r="B443" s="32"/>
    </row>
    <row r="444" spans="1:2" x14ac:dyDescent="0.2">
      <c r="A444" s="32"/>
      <c r="B444" s="32"/>
    </row>
    <row r="445" spans="1:2" x14ac:dyDescent="0.2">
      <c r="A445" s="32"/>
      <c r="B445" s="32"/>
    </row>
    <row r="446" spans="1:2" x14ac:dyDescent="0.2">
      <c r="A446" s="32"/>
      <c r="B446" s="32"/>
    </row>
    <row r="447" spans="1:2" x14ac:dyDescent="0.2">
      <c r="A447" s="32"/>
      <c r="B447" s="32"/>
    </row>
    <row r="448" spans="1:2" x14ac:dyDescent="0.2">
      <c r="A448" s="32"/>
      <c r="B448" s="32"/>
    </row>
    <row r="449" spans="1:2" x14ac:dyDescent="0.2">
      <c r="A449" s="32"/>
      <c r="B449" s="32"/>
    </row>
    <row r="450" spans="1:2" x14ac:dyDescent="0.2">
      <c r="A450" s="32"/>
      <c r="B450" s="32"/>
    </row>
    <row r="451" spans="1:2" x14ac:dyDescent="0.2">
      <c r="A451" s="32"/>
      <c r="B451" s="32"/>
    </row>
    <row r="452" spans="1:2" x14ac:dyDescent="0.2">
      <c r="A452" s="32"/>
      <c r="B452" s="32"/>
    </row>
    <row r="453" spans="1:2" x14ac:dyDescent="0.2">
      <c r="A453" s="32"/>
      <c r="B453" s="32"/>
    </row>
    <row r="454" spans="1:2" x14ac:dyDescent="0.2">
      <c r="A454" s="32"/>
      <c r="B454" s="32"/>
    </row>
    <row r="455" spans="1:2" x14ac:dyDescent="0.2">
      <c r="A455" s="32"/>
      <c r="B455" s="32"/>
    </row>
    <row r="456" spans="1:2" x14ac:dyDescent="0.2">
      <c r="A456" s="32"/>
      <c r="B456" s="32"/>
    </row>
    <row r="457" spans="1:2" x14ac:dyDescent="0.2">
      <c r="A457" s="32"/>
      <c r="B457" s="32"/>
    </row>
    <row r="458" spans="1:2" x14ac:dyDescent="0.2">
      <c r="A458" s="32"/>
      <c r="B458" s="32"/>
    </row>
    <row r="459" spans="1:2" x14ac:dyDescent="0.2">
      <c r="A459" s="32"/>
      <c r="B459" s="32"/>
    </row>
    <row r="460" spans="1:2" x14ac:dyDescent="0.2">
      <c r="A460" s="32"/>
      <c r="B460" s="32"/>
    </row>
    <row r="461" spans="1:2" x14ac:dyDescent="0.2">
      <c r="A461" s="32"/>
      <c r="B461" s="32"/>
    </row>
    <row r="462" spans="1:2" x14ac:dyDescent="0.2">
      <c r="A462" s="32"/>
      <c r="B462" s="32"/>
    </row>
    <row r="463" spans="1:2" x14ac:dyDescent="0.2">
      <c r="A463" s="32"/>
      <c r="B463" s="32"/>
    </row>
    <row r="464" spans="1:2" x14ac:dyDescent="0.2">
      <c r="A464" s="32"/>
      <c r="B464" s="32"/>
    </row>
    <row r="465" spans="1:2" x14ac:dyDescent="0.2">
      <c r="A465" s="32"/>
      <c r="B465" s="32"/>
    </row>
  </sheetData>
  <phoneticPr fontId="2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2:T623"/>
  <sheetViews>
    <sheetView showGridLines="0" topLeftCell="D1" zoomScale="90" zoomScaleNormal="90" workbookViewId="0">
      <selection activeCell="M40" sqref="M40"/>
    </sheetView>
  </sheetViews>
  <sheetFormatPr baseColWidth="10" defaultRowHeight="16" x14ac:dyDescent="0.2"/>
  <cols>
    <col min="1" max="1" width="10.83203125" customWidth="1"/>
    <col min="2" max="2" width="17" style="3" bestFit="1" customWidth="1"/>
    <col min="3" max="3" width="15.6640625" style="3" bestFit="1" customWidth="1"/>
    <col min="4" max="4" width="37.83203125" style="3" bestFit="1" customWidth="1"/>
    <col min="5" max="5" width="15.33203125" style="3" customWidth="1"/>
    <col min="7" max="7" width="22.33203125" style="1" customWidth="1"/>
    <col min="8" max="8" width="13" style="1" customWidth="1"/>
    <col min="9" max="9" width="9.33203125" style="1" bestFit="1" customWidth="1"/>
    <col min="10" max="10" width="8.1640625" style="1" bestFit="1" customWidth="1"/>
    <col min="11" max="11" width="23.1640625" style="1" customWidth="1"/>
    <col min="12" max="12" width="15.1640625" customWidth="1"/>
    <col min="13" max="15" width="7.1640625" style="1" bestFit="1" customWidth="1"/>
    <col min="16" max="16" width="7.1640625" style="1" customWidth="1"/>
    <col min="17" max="17" width="15.1640625" customWidth="1"/>
    <col min="18" max="18" width="16.83203125" customWidth="1"/>
    <col min="19" max="19" width="45" customWidth="1"/>
    <col min="20" max="20" width="11.6640625" customWidth="1"/>
    <col min="21" max="21" width="11.33203125" customWidth="1"/>
    <col min="22" max="22" width="26.1640625" customWidth="1"/>
    <col min="23" max="23" width="10.83203125" customWidth="1"/>
  </cols>
  <sheetData>
    <row r="2" spans="1:20" ht="38" customHeight="1" x14ac:dyDescent="0.2">
      <c r="A2" s="133" t="s">
        <v>855</v>
      </c>
      <c r="B2" s="133"/>
      <c r="C2" s="133"/>
      <c r="D2" s="133"/>
      <c r="E2" s="133"/>
      <c r="F2" s="68"/>
      <c r="G2" s="149" t="s">
        <v>860</v>
      </c>
      <c r="H2" s="149"/>
      <c r="I2" s="149"/>
      <c r="J2" s="149"/>
      <c r="K2" s="149"/>
      <c r="L2" s="149"/>
      <c r="M2" s="149"/>
      <c r="N2" s="149"/>
      <c r="O2" s="149"/>
    </row>
    <row r="3" spans="1:20" ht="25" customHeight="1" x14ac:dyDescent="0.25">
      <c r="A3" s="81"/>
      <c r="B3" s="151" t="s">
        <v>26</v>
      </c>
      <c r="C3" s="151"/>
      <c r="D3" s="151"/>
      <c r="E3" s="151"/>
      <c r="F3" s="10"/>
      <c r="G3" s="149"/>
      <c r="H3" s="149"/>
      <c r="I3" s="149"/>
      <c r="J3" s="149"/>
      <c r="K3" s="149"/>
      <c r="L3" s="149"/>
      <c r="M3" s="149"/>
      <c r="N3" s="149"/>
      <c r="O3" s="149"/>
      <c r="Q3" s="132" t="s">
        <v>856</v>
      </c>
      <c r="R3" s="132"/>
      <c r="S3" s="132"/>
    </row>
    <row r="4" spans="1:20" ht="19" x14ac:dyDescent="0.25">
      <c r="A4" s="81"/>
      <c r="B4" s="95"/>
      <c r="C4" s="95"/>
      <c r="D4" s="95"/>
      <c r="E4" s="95"/>
      <c r="F4" s="10"/>
      <c r="G4" s="88"/>
      <c r="H4" s="88"/>
      <c r="I4" s="88"/>
      <c r="J4" s="88"/>
      <c r="K4" s="88"/>
      <c r="L4" s="89"/>
      <c r="M4" s="88"/>
      <c r="N4" s="88"/>
      <c r="O4" s="93"/>
      <c r="Q4" s="137"/>
      <c r="R4" s="137"/>
      <c r="S4" s="137"/>
    </row>
    <row r="5" spans="1:20" ht="19" x14ac:dyDescent="0.25">
      <c r="A5" s="81"/>
      <c r="B5" s="96"/>
      <c r="C5" s="85" t="s">
        <v>30</v>
      </c>
      <c r="D5" s="85" t="s">
        <v>31</v>
      </c>
      <c r="E5" s="85" t="s">
        <v>32</v>
      </c>
      <c r="F5" s="6"/>
      <c r="G5" s="90" t="s">
        <v>843</v>
      </c>
      <c r="H5" s="90"/>
      <c r="I5" s="90"/>
      <c r="J5" s="90"/>
      <c r="K5" s="90"/>
      <c r="L5" s="91"/>
      <c r="M5" s="92"/>
      <c r="N5" s="92"/>
      <c r="O5" s="94"/>
      <c r="Q5" s="147" t="s">
        <v>40</v>
      </c>
      <c r="R5" s="148"/>
      <c r="S5" s="17">
        <f>COUNTIF(Tabla_Ventas[SUCURSAL],"Barcelona")</f>
        <v>340</v>
      </c>
    </row>
    <row r="6" spans="1:20" ht="19" x14ac:dyDescent="0.25">
      <c r="A6" s="81"/>
      <c r="B6" s="97" t="s">
        <v>840</v>
      </c>
      <c r="C6" s="98">
        <f>AVERAGE(Tabla_Ventas[CANTIDAD/ Quantity])</f>
        <v>5.51</v>
      </c>
      <c r="D6" s="99">
        <f>AVERAGE(Tabla_Ventas[PRECIO UNITARIO/ Unit price (USD)])</f>
        <v>55.672129999999974</v>
      </c>
      <c r="E6" s="99">
        <f>AVERAGE(Tabla_Ventas[VENTA TOTAL])</f>
        <v>307.58737999999994</v>
      </c>
      <c r="F6" s="6"/>
      <c r="G6" s="90" t="s">
        <v>844</v>
      </c>
      <c r="H6" s="90"/>
      <c r="I6" s="90"/>
      <c r="J6" s="90"/>
      <c r="K6" s="90"/>
      <c r="L6" s="91"/>
      <c r="M6" s="92"/>
      <c r="N6" s="92"/>
      <c r="O6" s="94"/>
      <c r="Q6" s="147" t="s">
        <v>37</v>
      </c>
      <c r="R6" s="148"/>
      <c r="S6" s="17">
        <f>COUNTIF(Tabla_Ventas[SUCURSAL],"Madrid")</f>
        <v>322</v>
      </c>
    </row>
    <row r="7" spans="1:20" ht="20" customHeight="1" x14ac:dyDescent="0.25">
      <c r="A7" s="81"/>
      <c r="B7" s="97" t="s">
        <v>33</v>
      </c>
      <c r="C7" s="100">
        <f>MEDIAN(Tabla_Ventas[CANTIDAD/ Quantity])</f>
        <v>5</v>
      </c>
      <c r="D7" s="101">
        <f>MEDIAN(Tabla_Ventas[PRECIO UNITARIO/ Unit price (USD)])</f>
        <v>55.230000000000004</v>
      </c>
      <c r="E7" s="101">
        <f>MEDIAN(Tabla_Ventas[VENTA TOTAL])</f>
        <v>241.76</v>
      </c>
      <c r="F7" s="6"/>
      <c r="G7" s="90" t="s">
        <v>845</v>
      </c>
      <c r="H7" s="90"/>
      <c r="I7" s="90"/>
      <c r="J7" s="90"/>
      <c r="K7" s="90"/>
      <c r="L7" s="91"/>
      <c r="M7" s="92"/>
      <c r="N7" s="92"/>
      <c r="O7" s="94"/>
      <c r="Q7" s="147" t="s">
        <v>830</v>
      </c>
      <c r="R7" s="148"/>
      <c r="S7" s="17">
        <f>COUNTIF(Tabla_Ventas[SUCURSAL],"Valencia")</f>
        <v>338</v>
      </c>
    </row>
    <row r="8" spans="1:20" ht="20" customHeight="1" x14ac:dyDescent="0.25">
      <c r="A8" s="81"/>
      <c r="B8" s="97" t="s">
        <v>34</v>
      </c>
      <c r="C8" s="100">
        <f>MIN(Tabla_Ventas[CANTIDAD/ Quantity])</f>
        <v>1</v>
      </c>
      <c r="D8" s="101">
        <f>MIN(Tabla_Ventas[PRECIO UNITARIO/ Unit price (USD)])</f>
        <v>10.08</v>
      </c>
      <c r="E8" s="101">
        <f>MIN(Tabla_Ventas[VENTA TOTAL])</f>
        <v>10.17</v>
      </c>
      <c r="F8" s="6"/>
      <c r="G8" s="90" t="s">
        <v>846</v>
      </c>
      <c r="H8" s="90"/>
      <c r="I8" s="90"/>
      <c r="J8" s="90"/>
      <c r="K8" s="90"/>
      <c r="L8" s="91"/>
      <c r="M8" s="92"/>
      <c r="N8" s="92"/>
      <c r="O8" s="94"/>
    </row>
    <row r="9" spans="1:20" ht="19" customHeight="1" x14ac:dyDescent="0.25">
      <c r="A9" s="81"/>
      <c r="B9" s="97" t="s">
        <v>35</v>
      </c>
      <c r="C9" s="100">
        <f>MAX(Tabla_Ventas[CANTIDAD/ Quantity])</f>
        <v>10</v>
      </c>
      <c r="D9" s="101">
        <f>MAX(Tabla_Ventas[PRECIO UNITARIO/ Unit price (USD)])</f>
        <v>99.96</v>
      </c>
      <c r="E9" s="101">
        <f>MAX(Tabla_Ventas[VENTA TOTAL])</f>
        <v>993</v>
      </c>
      <c r="F9" s="6"/>
      <c r="G9" s="90" t="s">
        <v>847</v>
      </c>
      <c r="H9" s="90"/>
      <c r="I9" s="90"/>
      <c r="J9" s="90"/>
      <c r="K9" s="90"/>
      <c r="L9" s="91"/>
      <c r="M9" s="92"/>
      <c r="N9" s="92"/>
      <c r="O9" s="94"/>
    </row>
    <row r="10" spans="1:20" ht="21" customHeight="1" x14ac:dyDescent="0.25">
      <c r="A10" s="81"/>
      <c r="B10" s="97" t="s">
        <v>36</v>
      </c>
      <c r="C10" s="100">
        <f>C9-C8</f>
        <v>9</v>
      </c>
      <c r="D10" s="101">
        <f>D9-D8</f>
        <v>89.88</v>
      </c>
      <c r="E10" s="101">
        <f>E9-E8</f>
        <v>982.83</v>
      </c>
      <c r="F10" s="6"/>
      <c r="G10" s="90" t="s">
        <v>848</v>
      </c>
      <c r="H10" s="90"/>
      <c r="I10" s="90"/>
      <c r="J10" s="90"/>
      <c r="K10" s="90"/>
      <c r="L10" s="91"/>
      <c r="M10" s="92"/>
      <c r="N10" s="92"/>
      <c r="O10" s="94"/>
    </row>
    <row r="11" spans="1:20" ht="21" customHeight="1" x14ac:dyDescent="0.25">
      <c r="A11" s="81"/>
      <c r="B11" s="102"/>
      <c r="C11" s="100"/>
      <c r="D11" s="101"/>
      <c r="E11" s="101"/>
      <c r="F11" s="6"/>
      <c r="G11" s="90" t="s">
        <v>849</v>
      </c>
      <c r="H11" s="90"/>
      <c r="I11" s="90"/>
      <c r="J11" s="90"/>
      <c r="K11" s="90"/>
      <c r="L11" s="91"/>
      <c r="M11" s="92"/>
      <c r="N11" s="92"/>
      <c r="O11" s="94"/>
      <c r="Q11" s="138" t="s">
        <v>839</v>
      </c>
      <c r="R11" s="138"/>
      <c r="S11" s="138"/>
      <c r="T11" s="138"/>
    </row>
    <row r="12" spans="1:20" ht="19" x14ac:dyDescent="0.25">
      <c r="B12" s="8"/>
      <c r="C12" s="8"/>
      <c r="D12" s="8"/>
      <c r="E12" s="8"/>
      <c r="F12" s="6"/>
      <c r="G12" s="90" t="s">
        <v>850</v>
      </c>
      <c r="H12" s="90"/>
      <c r="I12" s="90"/>
      <c r="J12" s="90"/>
      <c r="K12" s="90"/>
      <c r="L12" s="91"/>
      <c r="M12" s="92"/>
      <c r="N12" s="92"/>
      <c r="O12" s="94"/>
      <c r="Q12" s="4" t="s">
        <v>12</v>
      </c>
      <c r="R12" s="4" t="s">
        <v>13</v>
      </c>
      <c r="S12" s="16" t="s">
        <v>14</v>
      </c>
      <c r="T12" s="16" t="s">
        <v>15</v>
      </c>
    </row>
    <row r="13" spans="1:20" ht="22" customHeight="1" x14ac:dyDescent="0.25">
      <c r="B13" s="8"/>
      <c r="C13" s="8"/>
      <c r="D13" s="8"/>
      <c r="E13" s="8"/>
      <c r="F13" s="6"/>
      <c r="G13" s="90" t="s">
        <v>851</v>
      </c>
      <c r="H13" s="90"/>
      <c r="I13" s="90"/>
      <c r="J13" s="90"/>
      <c r="K13" s="90"/>
      <c r="L13" s="91"/>
      <c r="M13" s="92"/>
      <c r="N13" s="92"/>
      <c r="O13" s="94"/>
      <c r="Q13" s="12" t="s">
        <v>16</v>
      </c>
      <c r="R13" s="4" t="s">
        <v>18</v>
      </c>
      <c r="S13" s="4" t="s">
        <v>20</v>
      </c>
      <c r="T13" s="4" t="s">
        <v>17</v>
      </c>
    </row>
    <row r="14" spans="1:20" ht="19" x14ac:dyDescent="0.25">
      <c r="B14" s="8"/>
      <c r="C14" s="8"/>
      <c r="D14" s="8"/>
      <c r="E14" s="8"/>
      <c r="F14" s="18"/>
      <c r="G14" s="92" t="s">
        <v>852</v>
      </c>
      <c r="H14" s="92"/>
      <c r="I14" s="92"/>
      <c r="J14" s="92"/>
      <c r="K14" s="92"/>
      <c r="L14" s="91"/>
      <c r="M14" s="92"/>
      <c r="N14" s="92"/>
      <c r="O14" s="94"/>
      <c r="Q14" s="17" t="s">
        <v>19</v>
      </c>
      <c r="S14" s="4" t="s">
        <v>21</v>
      </c>
      <c r="T14" s="4" t="s">
        <v>23</v>
      </c>
    </row>
    <row r="15" spans="1:20" ht="19" x14ac:dyDescent="0.25">
      <c r="B15" s="8"/>
      <c r="C15" s="8"/>
      <c r="D15" s="8"/>
      <c r="E15" s="8"/>
      <c r="F15" s="18"/>
      <c r="G15" s="92" t="s">
        <v>855</v>
      </c>
      <c r="H15" s="92"/>
      <c r="I15" s="92"/>
      <c r="J15" s="92"/>
      <c r="K15" s="92"/>
      <c r="L15" s="91"/>
      <c r="M15" s="92"/>
      <c r="N15" s="92"/>
      <c r="O15" s="94"/>
      <c r="Q15" s="66"/>
      <c r="S15" s="4" t="s">
        <v>22</v>
      </c>
      <c r="T15" s="67"/>
    </row>
    <row r="16" spans="1:20" ht="19" x14ac:dyDescent="0.25">
      <c r="B16" s="8"/>
      <c r="C16" s="8"/>
      <c r="D16" s="8"/>
      <c r="E16" s="8"/>
      <c r="F16" s="18"/>
      <c r="G16" s="92" t="s">
        <v>854</v>
      </c>
      <c r="H16" s="92"/>
      <c r="I16" s="92"/>
      <c r="J16" s="92"/>
      <c r="K16" s="92"/>
      <c r="L16" s="91"/>
      <c r="M16" s="92"/>
      <c r="N16" s="92"/>
      <c r="O16" s="94"/>
      <c r="Q16" s="66"/>
      <c r="S16" s="4" t="s">
        <v>24</v>
      </c>
      <c r="T16" s="67"/>
    </row>
    <row r="17" spans="1:20" ht="19" x14ac:dyDescent="0.25">
      <c r="B17" s="8"/>
      <c r="C17" s="8"/>
      <c r="D17" s="8"/>
      <c r="E17" s="8"/>
      <c r="F17" s="18"/>
      <c r="G17" s="92" t="s">
        <v>858</v>
      </c>
      <c r="H17" s="92"/>
      <c r="I17" s="92"/>
      <c r="J17" s="92"/>
      <c r="K17" s="92"/>
      <c r="L17" s="91"/>
      <c r="M17" s="92"/>
      <c r="N17" s="92"/>
      <c r="O17" s="94"/>
      <c r="Q17" s="66"/>
      <c r="S17" s="4" t="s">
        <v>25</v>
      </c>
      <c r="T17" s="67"/>
    </row>
    <row r="18" spans="1:20" ht="19" x14ac:dyDescent="0.25">
      <c r="B18" s="8"/>
      <c r="C18" s="8"/>
      <c r="D18" s="8"/>
      <c r="E18" s="8"/>
      <c r="F18" s="18"/>
      <c r="G18"/>
      <c r="H18"/>
      <c r="I18"/>
      <c r="J18"/>
      <c r="K18"/>
      <c r="M18"/>
      <c r="N18"/>
      <c r="O18"/>
      <c r="Q18" s="66"/>
    </row>
    <row r="19" spans="1:20" ht="26" customHeight="1" x14ac:dyDescent="0.25">
      <c r="B19" s="8"/>
      <c r="C19" s="8"/>
      <c r="D19" s="8"/>
      <c r="E19" s="8"/>
      <c r="F19" s="6"/>
      <c r="G19" s="149" t="s">
        <v>861</v>
      </c>
      <c r="H19" s="149"/>
      <c r="I19" s="149"/>
      <c r="J19" s="149"/>
      <c r="K19" s="149"/>
      <c r="L19" s="149"/>
      <c r="M19" s="149"/>
      <c r="N19" s="149"/>
      <c r="O19" s="149"/>
    </row>
    <row r="20" spans="1:20" ht="20" customHeight="1" x14ac:dyDescent="0.25">
      <c r="A20" s="150" t="s">
        <v>859</v>
      </c>
      <c r="B20" s="150"/>
      <c r="C20" s="150"/>
      <c r="D20" s="8"/>
      <c r="E20" s="8"/>
      <c r="F20" s="6"/>
      <c r="G20" s="149"/>
      <c r="H20" s="149"/>
      <c r="I20" s="149"/>
      <c r="J20" s="149"/>
      <c r="K20" s="149"/>
      <c r="L20" s="149"/>
      <c r="M20" s="149"/>
      <c r="N20" s="149"/>
      <c r="O20" s="149"/>
    </row>
    <row r="21" spans="1:20" ht="21" customHeight="1" x14ac:dyDescent="0.2">
      <c r="A21" s="150"/>
      <c r="B21" s="150"/>
      <c r="C21" s="150"/>
      <c r="G21" s="132" t="s">
        <v>843</v>
      </c>
      <c r="H21" s="132"/>
      <c r="I21" s="132"/>
      <c r="J21" s="132"/>
      <c r="K21" s="132"/>
    </row>
    <row r="22" spans="1:20" ht="34" x14ac:dyDescent="0.2">
      <c r="B22" s="142" t="s">
        <v>862</v>
      </c>
      <c r="C22" s="142"/>
      <c r="D22" s="142"/>
      <c r="G22" s="19" t="s">
        <v>69</v>
      </c>
      <c r="H22" s="27" t="s">
        <v>72</v>
      </c>
      <c r="I22" s="27" t="s">
        <v>63</v>
      </c>
      <c r="J22"/>
      <c r="K22"/>
      <c r="M22"/>
      <c r="N22"/>
      <c r="O22"/>
    </row>
    <row r="23" spans="1:20" x14ac:dyDescent="0.2">
      <c r="B23" s="83" t="s">
        <v>841</v>
      </c>
      <c r="C23" s="139"/>
      <c r="D23" s="139"/>
      <c r="G23" s="14" t="s">
        <v>19</v>
      </c>
      <c r="H23" s="39">
        <v>18625.490000000023</v>
      </c>
      <c r="I23" s="20">
        <v>1859</v>
      </c>
      <c r="J23"/>
      <c r="K23"/>
      <c r="M23"/>
      <c r="N23"/>
      <c r="O23"/>
      <c r="Q23" s="132" t="s">
        <v>852</v>
      </c>
      <c r="R23" s="132"/>
      <c r="S23" s="132"/>
      <c r="T23" s="132"/>
    </row>
    <row r="24" spans="1:20" ht="16" customHeight="1" x14ac:dyDescent="0.2">
      <c r="B24" s="83" t="s">
        <v>27</v>
      </c>
      <c r="C24" s="140" t="e">
        <f>VLOOKUP(C23,Tabla_Ventas[],4,FALSE)</f>
        <v>#N/A</v>
      </c>
      <c r="D24" s="140"/>
      <c r="G24" s="14" t="s">
        <v>16</v>
      </c>
      <c r="H24" s="40">
        <v>18440.980000000007</v>
      </c>
      <c r="I24" s="20">
        <v>1774</v>
      </c>
      <c r="J24"/>
      <c r="K24"/>
      <c r="M24" s="69"/>
      <c r="N24" s="69"/>
      <c r="O24" s="69"/>
      <c r="Q24" s="146"/>
      <c r="R24" s="146"/>
      <c r="S24" s="146"/>
      <c r="T24" s="146"/>
    </row>
    <row r="25" spans="1:20" x14ac:dyDescent="0.2">
      <c r="B25" s="83" t="s">
        <v>28</v>
      </c>
      <c r="C25" s="141" t="e">
        <f>VLOOKUP(C23,Tabla_Ventas[],5,FALSE)</f>
        <v>#N/A</v>
      </c>
      <c r="D25" s="141"/>
      <c r="G25" s="14" t="s">
        <v>12</v>
      </c>
      <c r="H25" s="40">
        <v>18605.659999999993</v>
      </c>
      <c r="I25" s="21">
        <v>1877</v>
      </c>
      <c r="J25"/>
      <c r="K25"/>
      <c r="M25" s="69"/>
      <c r="N25" s="69"/>
      <c r="O25" s="69"/>
      <c r="Q25" s="84" t="s">
        <v>837</v>
      </c>
      <c r="R25" s="61"/>
      <c r="S25" s="61"/>
      <c r="T25" s="62"/>
    </row>
    <row r="26" spans="1:20" ht="19" customHeight="1" x14ac:dyDescent="0.2">
      <c r="B26" s="83" t="s">
        <v>29</v>
      </c>
      <c r="C26" s="139" t="e">
        <f>VLOOKUP(C23,Tabla_Ventas[],6,FALSE)</f>
        <v>#N/A</v>
      </c>
      <c r="D26" s="139"/>
      <c r="G26" s="14" t="s">
        <v>39</v>
      </c>
      <c r="H26" s="40">
        <v>55672.130000000019</v>
      </c>
      <c r="I26" s="20">
        <v>5510</v>
      </c>
      <c r="J26"/>
      <c r="K26"/>
      <c r="M26" s="69"/>
      <c r="N26" s="69"/>
      <c r="O26" s="69"/>
      <c r="Q26" s="59" t="s">
        <v>838</v>
      </c>
      <c r="R26" s="63">
        <f>COUNTIF(Tabla_Ventas[[Sorteo ]],"PARTICIPA")</f>
        <v>489</v>
      </c>
      <c r="S26" s="64"/>
      <c r="T26" s="65"/>
    </row>
    <row r="27" spans="1:20" x14ac:dyDescent="0.2">
      <c r="G27"/>
      <c r="H27"/>
      <c r="I27"/>
      <c r="J27"/>
      <c r="K27"/>
      <c r="M27"/>
      <c r="N27"/>
      <c r="O27"/>
      <c r="Q27" s="60" t="s">
        <v>836</v>
      </c>
      <c r="R27" s="63">
        <f>COUNTIF(Tabla_Ventas[[Sorteo ]],"NO PARTICIPA")</f>
        <v>511</v>
      </c>
      <c r="S27" s="64"/>
      <c r="T27" s="65"/>
    </row>
    <row r="28" spans="1:20" ht="24" customHeight="1" x14ac:dyDescent="0.2">
      <c r="G28" s="132" t="s">
        <v>844</v>
      </c>
      <c r="H28" s="132"/>
      <c r="I28" s="132"/>
      <c r="J28" s="132"/>
      <c r="K28" s="132"/>
    </row>
    <row r="29" spans="1:20" x14ac:dyDescent="0.2">
      <c r="G29" s="19" t="s">
        <v>69</v>
      </c>
      <c r="H29" s="15" t="s">
        <v>63</v>
      </c>
      <c r="I29"/>
    </row>
    <row r="30" spans="1:20" ht="19" x14ac:dyDescent="0.2">
      <c r="A30" s="132" t="s">
        <v>853</v>
      </c>
      <c r="B30" s="132"/>
      <c r="C30" s="132"/>
      <c r="D30" s="132"/>
      <c r="G30" s="14" t="s">
        <v>12</v>
      </c>
      <c r="H30" s="20">
        <v>1034</v>
      </c>
      <c r="I30"/>
    </row>
    <row r="31" spans="1:20" x14ac:dyDescent="0.2">
      <c r="B31" s="83" t="s">
        <v>40</v>
      </c>
      <c r="C31" s="134">
        <f>(S5/Tabla_poblacion!B5)*1000000</f>
        <v>71.136433821775611</v>
      </c>
      <c r="D31" s="134"/>
      <c r="G31" s="22" t="s">
        <v>24</v>
      </c>
      <c r="H31" s="20">
        <v>364</v>
      </c>
      <c r="I31"/>
    </row>
    <row r="32" spans="1:20" x14ac:dyDescent="0.2">
      <c r="B32" s="83" t="s">
        <v>37</v>
      </c>
      <c r="C32" s="134">
        <f>(S6/Tabla_poblacion!E5)*1000000</f>
        <v>59.717037678854382</v>
      </c>
      <c r="D32" s="134"/>
      <c r="G32" s="22" t="s">
        <v>21</v>
      </c>
      <c r="H32" s="20">
        <v>362</v>
      </c>
      <c r="I32"/>
    </row>
    <row r="33" spans="1:11" x14ac:dyDescent="0.2">
      <c r="B33" s="83" t="s">
        <v>830</v>
      </c>
      <c r="C33" s="134">
        <f>(S7/Tabla_poblacion!H5)*1000000</f>
        <v>154.68399615578235</v>
      </c>
      <c r="D33" s="134"/>
      <c r="G33" s="22" t="s">
        <v>25</v>
      </c>
      <c r="H33" s="20">
        <v>308</v>
      </c>
      <c r="I33"/>
    </row>
    <row r="34" spans="1:11" ht="19" x14ac:dyDescent="0.25">
      <c r="B34" s="8"/>
      <c r="G34" s="14" t="s">
        <v>19</v>
      </c>
      <c r="H34" s="20">
        <v>1026</v>
      </c>
      <c r="I34"/>
    </row>
    <row r="35" spans="1:11" x14ac:dyDescent="0.2">
      <c r="G35" s="22" t="s">
        <v>25</v>
      </c>
      <c r="H35" s="20">
        <v>371</v>
      </c>
      <c r="I35"/>
    </row>
    <row r="36" spans="1:11" ht="19" x14ac:dyDescent="0.2">
      <c r="A36" s="132" t="s">
        <v>854</v>
      </c>
      <c r="B36" s="132"/>
      <c r="C36" s="132"/>
      <c r="D36" s="132"/>
      <c r="G36" s="22" t="s">
        <v>14</v>
      </c>
      <c r="H36" s="20">
        <v>333</v>
      </c>
      <c r="I36"/>
    </row>
    <row r="37" spans="1:11" ht="17" customHeight="1" x14ac:dyDescent="0.2">
      <c r="B37" s="143" t="s">
        <v>832</v>
      </c>
      <c r="C37" s="143"/>
      <c r="D37" s="143"/>
      <c r="G37" s="22" t="s">
        <v>21</v>
      </c>
      <c r="H37" s="20">
        <v>322</v>
      </c>
      <c r="I37"/>
    </row>
    <row r="38" spans="1:11" x14ac:dyDescent="0.2">
      <c r="B38" s="103" t="s">
        <v>14</v>
      </c>
      <c r="C38" s="135">
        <f>COUNTIFS(Tabla_Ventas!D4:D1003,"sports and travel",Tabla_Ventas!B4:B1003,"Barcelona")</f>
        <v>59</v>
      </c>
      <c r="D38" s="135"/>
      <c r="G38" s="14" t="s">
        <v>16</v>
      </c>
      <c r="H38" s="20">
        <v>987</v>
      </c>
      <c r="I38"/>
    </row>
    <row r="39" spans="1:11" x14ac:dyDescent="0.2">
      <c r="B39" s="103" t="s">
        <v>20</v>
      </c>
      <c r="C39" s="135">
        <f>COUNTIFS(Tabla_Ventas!D5:D1004,"Health and beauty",Tabla_Ventas!B5:B1004,"Barcelona")</f>
        <v>47</v>
      </c>
      <c r="D39" s="135"/>
      <c r="G39" s="22" t="s">
        <v>20</v>
      </c>
      <c r="H39" s="20">
        <v>365</v>
      </c>
      <c r="I39"/>
    </row>
    <row r="40" spans="1:11" x14ac:dyDescent="0.2">
      <c r="B40" s="103" t="s">
        <v>21</v>
      </c>
      <c r="C40" s="135">
        <f>COUNTIFS(Tabla_Ventas!D6:D1005,"Electronic accessories",Tabla_Ventas!B6:B1005,"Barcelona")</f>
        <v>60</v>
      </c>
      <c r="D40" s="135"/>
      <c r="G40" s="22" t="s">
        <v>22</v>
      </c>
      <c r="H40" s="20">
        <v>335</v>
      </c>
    </row>
    <row r="41" spans="1:11" x14ac:dyDescent="0.2">
      <c r="B41" s="103" t="s">
        <v>22</v>
      </c>
      <c r="C41" s="135">
        <f>COUNTIFS(Tabla_Ventas!D7:D1006,"Fashion accessories",Tabla_Ventas!B7:B1006,"Barcelona")</f>
        <v>51</v>
      </c>
      <c r="D41" s="135"/>
      <c r="G41" s="22" t="s">
        <v>21</v>
      </c>
      <c r="H41" s="20">
        <v>287</v>
      </c>
    </row>
    <row r="42" spans="1:11" x14ac:dyDescent="0.2">
      <c r="B42" s="103" t="s">
        <v>24</v>
      </c>
      <c r="C42" s="135">
        <f>COUNTIFS(Tabla_Ventas!D8:D1007,"Food and beverages",Tabla_Ventas!B8:B1007,"Barcelona")</f>
        <v>58</v>
      </c>
      <c r="D42" s="135"/>
      <c r="G42" s="14" t="s">
        <v>39</v>
      </c>
      <c r="H42" s="20">
        <v>3047</v>
      </c>
    </row>
    <row r="43" spans="1:11" x14ac:dyDescent="0.2">
      <c r="B43" s="103" t="s">
        <v>25</v>
      </c>
      <c r="C43" s="135">
        <f>COUNTIFS(Tabla_Ventas!D9:D1008,"Home and lifestyle",Tabla_Ventas!B9:B1008,"Barcelona")</f>
        <v>65</v>
      </c>
      <c r="D43" s="135"/>
      <c r="G43" s="14"/>
      <c r="H43" s="3"/>
    </row>
    <row r="44" spans="1:11" ht="26" customHeight="1" x14ac:dyDescent="0.2">
      <c r="B44" s="58" t="s">
        <v>835</v>
      </c>
      <c r="C44" s="145">
        <f>SUM(C38:D43)</f>
        <v>340</v>
      </c>
      <c r="D44" s="145"/>
      <c r="G44" s="132" t="s">
        <v>845</v>
      </c>
      <c r="H44" s="132"/>
      <c r="I44" s="132"/>
      <c r="J44" s="132"/>
      <c r="K44" s="132"/>
    </row>
    <row r="45" spans="1:11" ht="19" customHeight="1" x14ac:dyDescent="0.2">
      <c r="B45"/>
      <c r="C45"/>
      <c r="D45"/>
      <c r="G45" s="19" t="s">
        <v>69</v>
      </c>
      <c r="H45" s="15" t="s">
        <v>63</v>
      </c>
    </row>
    <row r="46" spans="1:11" ht="19" x14ac:dyDescent="0.2">
      <c r="B46" s="144" t="s">
        <v>833</v>
      </c>
      <c r="C46" s="144"/>
      <c r="D46" s="144"/>
      <c r="G46" s="14" t="s">
        <v>12</v>
      </c>
      <c r="H46" s="2">
        <v>843</v>
      </c>
    </row>
    <row r="47" spans="1:11" x14ac:dyDescent="0.2">
      <c r="B47" s="103" t="s">
        <v>14</v>
      </c>
      <c r="C47" s="135">
        <f>COUNTIFS(Tabla_Ventas!D4:D1003,Auxiliar!B47,Tabla_Ventas!B4:B1003,"Madrid")</f>
        <v>57</v>
      </c>
      <c r="D47" s="135"/>
      <c r="G47" s="22" t="s">
        <v>14</v>
      </c>
      <c r="H47" s="2">
        <v>307</v>
      </c>
    </row>
    <row r="48" spans="1:11" x14ac:dyDescent="0.2">
      <c r="B48" s="103" t="s">
        <v>20</v>
      </c>
      <c r="C48" s="135">
        <f>COUNTIFS(Tabla_Ventas!D5:D1004,Auxiliar!B48,Tabla_Ventas!B5:B1004,"Madrid")</f>
        <v>59</v>
      </c>
      <c r="D48" s="135"/>
      <c r="G48" s="22" t="s">
        <v>22</v>
      </c>
      <c r="H48" s="2">
        <v>304</v>
      </c>
    </row>
    <row r="49" spans="1:11" x14ac:dyDescent="0.2">
      <c r="B49" s="103" t="s">
        <v>21</v>
      </c>
      <c r="C49" s="135">
        <f>COUNTIFS(Tabla_Ventas!D6:D1005,Auxiliar!B49,Tabla_Ventas!B6:B1005,"Madrid")</f>
        <v>48</v>
      </c>
      <c r="D49" s="135"/>
      <c r="G49" s="22" t="s">
        <v>20</v>
      </c>
      <c r="H49" s="2">
        <v>232</v>
      </c>
    </row>
    <row r="50" spans="1:11" x14ac:dyDescent="0.2">
      <c r="B50" s="103" t="s">
        <v>22</v>
      </c>
      <c r="C50" s="135">
        <f>COUNTIFS(Tabla_Ventas!D7:D1006,Auxiliar!B50,Tabla_Ventas!B7:B1006,"Madrid")</f>
        <v>68</v>
      </c>
      <c r="D50" s="135"/>
      <c r="G50" s="14" t="s">
        <v>19</v>
      </c>
      <c r="H50" s="2">
        <v>833</v>
      </c>
    </row>
    <row r="51" spans="1:11" x14ac:dyDescent="0.2">
      <c r="B51" s="103" t="s">
        <v>24</v>
      </c>
      <c r="C51" s="135">
        <f>COUNTIFS(Tabla_Ventas!D8:D1007,Auxiliar!B51,Tabla_Ventas!B8:B1007,"Madrid")</f>
        <v>48</v>
      </c>
      <c r="D51" s="135"/>
      <c r="G51" s="22" t="s">
        <v>24</v>
      </c>
      <c r="H51" s="2">
        <v>313</v>
      </c>
    </row>
    <row r="52" spans="1:11" ht="15" customHeight="1" x14ac:dyDescent="0.2">
      <c r="B52" s="103" t="s">
        <v>25</v>
      </c>
      <c r="C52" s="135">
        <f>COUNTIFS(Tabla_Ventas!D9:D1008,Auxiliar!B52,Tabla_Ventas!B9:B1008,"Madrid")</f>
        <v>42</v>
      </c>
      <c r="D52" s="135"/>
      <c r="G52" s="22" t="s">
        <v>22</v>
      </c>
      <c r="H52" s="2">
        <v>263</v>
      </c>
    </row>
    <row r="53" spans="1:11" ht="15" customHeight="1" x14ac:dyDescent="0.2">
      <c r="B53" s="58" t="s">
        <v>835</v>
      </c>
      <c r="C53" s="136">
        <f>SUM(C47:D52)</f>
        <v>322</v>
      </c>
      <c r="D53" s="136"/>
      <c r="G53" s="22" t="s">
        <v>20</v>
      </c>
      <c r="H53" s="2">
        <v>257</v>
      </c>
    </row>
    <row r="54" spans="1:11" x14ac:dyDescent="0.2">
      <c r="B54"/>
      <c r="C54"/>
      <c r="D54"/>
      <c r="G54" s="14" t="s">
        <v>16</v>
      </c>
      <c r="H54" s="2">
        <v>787</v>
      </c>
    </row>
    <row r="55" spans="1:11" ht="19" x14ac:dyDescent="0.2">
      <c r="B55" s="144" t="s">
        <v>834</v>
      </c>
      <c r="C55" s="144"/>
      <c r="D55" s="144"/>
      <c r="G55" s="22" t="s">
        <v>14</v>
      </c>
      <c r="H55" s="2">
        <v>280</v>
      </c>
    </row>
    <row r="56" spans="1:11" x14ac:dyDescent="0.2">
      <c r="B56" s="103" t="s">
        <v>14</v>
      </c>
      <c r="C56" s="135">
        <f>COUNTIFS(Tabla_Ventas!D4:D1003,Auxiliar!B56,Tabla_Ventas!B4:B1003,"Valencia")</f>
        <v>50</v>
      </c>
      <c r="D56" s="135"/>
      <c r="G56" s="22" t="s">
        <v>24</v>
      </c>
      <c r="H56" s="2">
        <v>275</v>
      </c>
    </row>
    <row r="57" spans="1:11" x14ac:dyDescent="0.2">
      <c r="B57" s="103" t="s">
        <v>20</v>
      </c>
      <c r="C57" s="135">
        <f>COUNTIFS(Tabla_Ventas!D5:D1004,Auxiliar!B57,Tabla_Ventas!B5:B1004,"Valencia")</f>
        <v>46</v>
      </c>
      <c r="D57" s="135"/>
      <c r="G57" s="22" t="s">
        <v>25</v>
      </c>
      <c r="H57" s="2">
        <v>232</v>
      </c>
    </row>
    <row r="58" spans="1:11" x14ac:dyDescent="0.2">
      <c r="B58" s="103" t="s">
        <v>21</v>
      </c>
      <c r="C58" s="135">
        <f>COUNTIFS(Tabla_Ventas!D6:D1005,Auxiliar!B58,Tabla_Ventas!B6:B1005,"Valencia")</f>
        <v>62</v>
      </c>
      <c r="D58" s="135"/>
      <c r="G58" s="14" t="s">
        <v>39</v>
      </c>
      <c r="H58" s="2">
        <v>2463</v>
      </c>
    </row>
    <row r="59" spans="1:11" x14ac:dyDescent="0.2">
      <c r="B59" s="103" t="s">
        <v>22</v>
      </c>
      <c r="C59" s="135">
        <f>COUNTIFS(Tabla_Ventas!D7:D1006,Auxiliar!B59,Tabla_Ventas!B7:B1006,"Valencia")</f>
        <v>59</v>
      </c>
      <c r="D59" s="135"/>
      <c r="G59"/>
      <c r="H59"/>
    </row>
    <row r="60" spans="1:11" ht="23" customHeight="1" x14ac:dyDescent="0.2">
      <c r="B60" s="103" t="s">
        <v>24</v>
      </c>
      <c r="C60" s="135">
        <f>COUNTIFS(Tabla_Ventas!D8:D1007,Auxiliar!B60,Tabla_Ventas!B8:B1007,"Valencia")</f>
        <v>68</v>
      </c>
      <c r="D60" s="135"/>
      <c r="G60" s="132" t="s">
        <v>846</v>
      </c>
      <c r="H60" s="132"/>
      <c r="I60" s="132"/>
      <c r="J60" s="132"/>
      <c r="K60" s="132"/>
    </row>
    <row r="61" spans="1:11" x14ac:dyDescent="0.2">
      <c r="B61" s="103" t="s">
        <v>25</v>
      </c>
      <c r="C61" s="135">
        <f>COUNTIFS(Tabla_Ventas!D9:D1008,Auxiliar!B61,Tabla_Ventas!B9:B1008,"Valencia")</f>
        <v>53</v>
      </c>
      <c r="D61" s="135"/>
      <c r="G61" s="19" t="s">
        <v>69</v>
      </c>
      <c r="H61" s="28" t="s">
        <v>71</v>
      </c>
    </row>
    <row r="62" spans="1:11" x14ac:dyDescent="0.2">
      <c r="B62" s="58" t="s">
        <v>835</v>
      </c>
      <c r="C62" s="136">
        <f>SUM(C56:D61)</f>
        <v>338</v>
      </c>
      <c r="D62" s="136"/>
      <c r="G62" s="14" t="s">
        <v>19</v>
      </c>
      <c r="H62" s="40">
        <v>16281.960000000003</v>
      </c>
    </row>
    <row r="63" spans="1:11" x14ac:dyDescent="0.2">
      <c r="B63"/>
      <c r="C63"/>
      <c r="D63"/>
      <c r="G63" s="22" t="s">
        <v>25</v>
      </c>
      <c r="H63" s="40">
        <v>3629.9700000000007</v>
      </c>
    </row>
    <row r="64" spans="1:11" ht="20" customHeight="1" x14ac:dyDescent="0.2">
      <c r="A64" s="131" t="s">
        <v>857</v>
      </c>
      <c r="B64" s="131"/>
      <c r="C64" s="131"/>
      <c r="D64" s="131"/>
      <c r="G64" s="22" t="s">
        <v>21</v>
      </c>
      <c r="H64" s="40">
        <v>3292.2700000000004</v>
      </c>
    </row>
    <row r="65" spans="1:8" x14ac:dyDescent="0.2">
      <c r="B65" s="19" t="s">
        <v>38</v>
      </c>
      <c r="C65" s="15" t="s">
        <v>842</v>
      </c>
      <c r="D65"/>
      <c r="G65" s="22" t="s">
        <v>14</v>
      </c>
      <c r="H65" s="40">
        <v>3281.0099999999993</v>
      </c>
    </row>
    <row r="66" spans="1:8" x14ac:dyDescent="0.2">
      <c r="B66" s="104" t="s">
        <v>19</v>
      </c>
      <c r="C66" s="105">
        <v>101143.21000000004</v>
      </c>
      <c r="D66"/>
      <c r="G66" s="22" t="s">
        <v>24</v>
      </c>
      <c r="H66" s="40">
        <v>3188.52</v>
      </c>
    </row>
    <row r="67" spans="1:8" x14ac:dyDescent="0.2">
      <c r="B67" s="104" t="s">
        <v>16</v>
      </c>
      <c r="C67" s="105">
        <v>100867.17000000001</v>
      </c>
      <c r="D67"/>
      <c r="G67" s="22" t="s">
        <v>22</v>
      </c>
      <c r="H67" s="40">
        <v>2890.1900000000005</v>
      </c>
    </row>
    <row r="68" spans="1:8" x14ac:dyDescent="0.2">
      <c r="B68" s="104" t="s">
        <v>12</v>
      </c>
      <c r="C68" s="105">
        <v>105577.00000000004</v>
      </c>
      <c r="D68"/>
      <c r="G68" s="14" t="s">
        <v>16</v>
      </c>
      <c r="H68" s="40">
        <v>16151</v>
      </c>
    </row>
    <row r="69" spans="1:8" x14ac:dyDescent="0.2">
      <c r="B69" s="86" t="s">
        <v>39</v>
      </c>
      <c r="C69" s="87">
        <v>307587.38000000012</v>
      </c>
      <c r="D69"/>
      <c r="G69" s="22" t="s">
        <v>22</v>
      </c>
      <c r="H69" s="40">
        <v>4018.35</v>
      </c>
    </row>
    <row r="70" spans="1:8" x14ac:dyDescent="0.2">
      <c r="B70"/>
      <c r="C70"/>
      <c r="G70" s="22" t="s">
        <v>14</v>
      </c>
      <c r="H70" s="40">
        <v>3399.4799999999991</v>
      </c>
    </row>
    <row r="71" spans="1:8" x14ac:dyDescent="0.2">
      <c r="A71" s="3"/>
      <c r="D71"/>
      <c r="G71" s="22" t="s">
        <v>20</v>
      </c>
      <c r="H71" s="40">
        <v>3336.0500000000006</v>
      </c>
    </row>
    <row r="72" spans="1:8" x14ac:dyDescent="0.2">
      <c r="A72" s="3"/>
      <c r="D72"/>
      <c r="G72" s="22" t="s">
        <v>24</v>
      </c>
      <c r="H72" s="40">
        <v>2780.25</v>
      </c>
    </row>
    <row r="73" spans="1:8" x14ac:dyDescent="0.2">
      <c r="A73" s="3"/>
      <c r="D73"/>
      <c r="G73" s="22" t="s">
        <v>21</v>
      </c>
      <c r="H73" s="40">
        <v>2616.87</v>
      </c>
    </row>
    <row r="74" spans="1:8" x14ac:dyDescent="0.2">
      <c r="A74" s="3"/>
      <c r="D74"/>
      <c r="G74" s="14" t="s">
        <v>12</v>
      </c>
      <c r="H74" s="40">
        <v>15947.359999999999</v>
      </c>
    </row>
    <row r="75" spans="1:8" x14ac:dyDescent="0.2">
      <c r="B75"/>
      <c r="C75"/>
      <c r="D75"/>
      <c r="G75" s="22" t="s">
        <v>24</v>
      </c>
      <c r="H75" s="40">
        <v>3776.7699999999986</v>
      </c>
    </row>
    <row r="76" spans="1:8" x14ac:dyDescent="0.2">
      <c r="D76"/>
      <c r="G76" s="22" t="s">
        <v>22</v>
      </c>
      <c r="H76" s="40">
        <v>3264.8100000000004</v>
      </c>
    </row>
    <row r="77" spans="1:8" x14ac:dyDescent="0.2">
      <c r="D77"/>
      <c r="G77" s="22" t="s">
        <v>21</v>
      </c>
      <c r="H77" s="40">
        <v>3194.63</v>
      </c>
    </row>
    <row r="78" spans="1:8" x14ac:dyDescent="0.2">
      <c r="D78"/>
      <c r="G78" s="22" t="s">
        <v>25</v>
      </c>
      <c r="H78" s="40">
        <v>2930.76</v>
      </c>
    </row>
    <row r="79" spans="1:8" x14ac:dyDescent="0.2">
      <c r="D79"/>
      <c r="G79" s="22" t="s">
        <v>14</v>
      </c>
      <c r="H79" s="40">
        <v>2780.39</v>
      </c>
    </row>
    <row r="80" spans="1:8" x14ac:dyDescent="0.2">
      <c r="D80"/>
      <c r="G80" s="14" t="s">
        <v>39</v>
      </c>
      <c r="H80" s="40">
        <v>48380.319999999992</v>
      </c>
    </row>
    <row r="81" spans="2:11" x14ac:dyDescent="0.2">
      <c r="D81"/>
      <c r="G81"/>
      <c r="H81"/>
    </row>
    <row r="82" spans="2:11" ht="26" customHeight="1" x14ac:dyDescent="0.2">
      <c r="B82"/>
      <c r="C82"/>
      <c r="D82"/>
      <c r="G82" s="132" t="s">
        <v>847</v>
      </c>
      <c r="H82" s="132"/>
      <c r="I82" s="132"/>
      <c r="J82" s="132"/>
      <c r="K82" s="132"/>
    </row>
    <row r="83" spans="2:11" ht="17" customHeight="1" x14ac:dyDescent="0.2">
      <c r="B83"/>
      <c r="C83"/>
      <c r="D83"/>
      <c r="G83" s="19" t="s">
        <v>69</v>
      </c>
      <c r="H83" s="15" t="s">
        <v>70</v>
      </c>
    </row>
    <row r="84" spans="2:11" x14ac:dyDescent="0.2">
      <c r="B84"/>
      <c r="C84"/>
      <c r="D84"/>
      <c r="G84" s="14" t="s">
        <v>19</v>
      </c>
      <c r="H84" s="40">
        <v>14995.52</v>
      </c>
    </row>
    <row r="85" spans="2:11" x14ac:dyDescent="0.2">
      <c r="B85"/>
      <c r="C85"/>
      <c r="D85"/>
      <c r="G85" s="22" t="s">
        <v>20</v>
      </c>
      <c r="H85" s="40">
        <v>2343.5299999999997</v>
      </c>
    </row>
    <row r="86" spans="2:11" x14ac:dyDescent="0.2">
      <c r="B86"/>
      <c r="C86"/>
      <c r="D86"/>
      <c r="G86" s="22" t="s">
        <v>22</v>
      </c>
      <c r="H86" s="40">
        <v>2890.1900000000005</v>
      </c>
    </row>
    <row r="87" spans="2:11" x14ac:dyDescent="0.2">
      <c r="B87"/>
      <c r="C87"/>
      <c r="D87"/>
      <c r="G87" s="22" t="s">
        <v>24</v>
      </c>
      <c r="H87" s="40">
        <v>3188.52</v>
      </c>
    </row>
    <row r="88" spans="2:11" x14ac:dyDescent="0.2">
      <c r="B88"/>
      <c r="C88"/>
      <c r="D88"/>
      <c r="G88" s="22" t="s">
        <v>14</v>
      </c>
      <c r="H88" s="40">
        <v>3281.0099999999993</v>
      </c>
    </row>
    <row r="89" spans="2:11" x14ac:dyDescent="0.2">
      <c r="G89" s="22" t="s">
        <v>21</v>
      </c>
      <c r="H89" s="40">
        <v>3292.2700000000004</v>
      </c>
    </row>
    <row r="90" spans="2:11" x14ac:dyDescent="0.2">
      <c r="G90" s="14" t="s">
        <v>16</v>
      </c>
      <c r="H90" s="40">
        <v>14422.63</v>
      </c>
    </row>
    <row r="91" spans="2:11" x14ac:dyDescent="0.2">
      <c r="G91" s="22" t="s">
        <v>25</v>
      </c>
      <c r="H91" s="40">
        <v>2289.98</v>
      </c>
    </row>
    <row r="92" spans="2:11" x14ac:dyDescent="0.2">
      <c r="G92" s="22" t="s">
        <v>21</v>
      </c>
      <c r="H92" s="40">
        <v>2616.87</v>
      </c>
    </row>
    <row r="93" spans="2:11" x14ac:dyDescent="0.2">
      <c r="G93" s="22" t="s">
        <v>24</v>
      </c>
      <c r="H93" s="40">
        <v>2780.25</v>
      </c>
    </row>
    <row r="94" spans="2:11" x14ac:dyDescent="0.2">
      <c r="G94" s="22" t="s">
        <v>20</v>
      </c>
      <c r="H94" s="40">
        <v>3336.0500000000006</v>
      </c>
    </row>
    <row r="95" spans="2:11" x14ac:dyDescent="0.2">
      <c r="G95" s="22" t="s">
        <v>14</v>
      </c>
      <c r="H95" s="40">
        <v>3399.4799999999991</v>
      </c>
    </row>
    <row r="96" spans="2:11" x14ac:dyDescent="0.2">
      <c r="G96" s="14" t="s">
        <v>12</v>
      </c>
      <c r="H96" s="40">
        <v>14828.89</v>
      </c>
    </row>
    <row r="97" spans="7:11" x14ac:dyDescent="0.2">
      <c r="G97" s="22" t="s">
        <v>20</v>
      </c>
      <c r="H97" s="40">
        <v>2658.2999999999997</v>
      </c>
    </row>
    <row r="98" spans="7:11" x14ac:dyDescent="0.2">
      <c r="G98" s="22" t="s">
        <v>14</v>
      </c>
      <c r="H98" s="40">
        <v>2780.39</v>
      </c>
    </row>
    <row r="99" spans="7:11" x14ac:dyDescent="0.2">
      <c r="G99" s="22" t="s">
        <v>25</v>
      </c>
      <c r="H99" s="40">
        <v>2930.76</v>
      </c>
    </row>
    <row r="100" spans="7:11" x14ac:dyDescent="0.2">
      <c r="G100" s="22" t="s">
        <v>21</v>
      </c>
      <c r="H100" s="40">
        <v>3194.63</v>
      </c>
    </row>
    <row r="101" spans="7:11" x14ac:dyDescent="0.2">
      <c r="G101" s="22" t="s">
        <v>22</v>
      </c>
      <c r="H101" s="40">
        <v>3264.8100000000004</v>
      </c>
    </row>
    <row r="102" spans="7:11" x14ac:dyDescent="0.2">
      <c r="G102" s="14" t="s">
        <v>39</v>
      </c>
      <c r="H102" s="40">
        <v>44247.040000000001</v>
      </c>
    </row>
    <row r="103" spans="7:11" x14ac:dyDescent="0.2">
      <c r="G103"/>
      <c r="H103" s="29"/>
    </row>
    <row r="104" spans="7:11" ht="26" customHeight="1" x14ac:dyDescent="0.2">
      <c r="G104" s="132" t="s">
        <v>848</v>
      </c>
      <c r="H104" s="132"/>
      <c r="I104" s="132"/>
      <c r="J104" s="132"/>
      <c r="K104" s="132"/>
    </row>
    <row r="105" spans="7:11" x14ac:dyDescent="0.2">
      <c r="G105" s="19" t="s">
        <v>67</v>
      </c>
      <c r="H105" s="28" t="s">
        <v>68</v>
      </c>
      <c r="I105"/>
    </row>
    <row r="106" spans="7:11" x14ac:dyDescent="0.2">
      <c r="G106" s="76" t="s">
        <v>50</v>
      </c>
      <c r="H106" s="41">
        <v>37809.05999999999</v>
      </c>
      <c r="I106"/>
    </row>
    <row r="107" spans="7:11" x14ac:dyDescent="0.2">
      <c r="G107" s="77" t="s">
        <v>44</v>
      </c>
      <c r="H107" s="42">
        <v>33069.740000000005</v>
      </c>
      <c r="I107"/>
    </row>
    <row r="108" spans="7:11" x14ac:dyDescent="0.2">
      <c r="G108" s="77" t="s">
        <v>41</v>
      </c>
      <c r="H108" s="42">
        <v>29925.219999999998</v>
      </c>
      <c r="I108"/>
    </row>
    <row r="109" spans="7:11" x14ac:dyDescent="0.2">
      <c r="G109" s="77" t="s">
        <v>46</v>
      </c>
      <c r="H109" s="42">
        <v>29694.770000000011</v>
      </c>
      <c r="I109"/>
    </row>
    <row r="110" spans="7:11" x14ac:dyDescent="0.2">
      <c r="G110" s="77" t="s">
        <v>45</v>
      </c>
      <c r="H110" s="42">
        <v>29360.380000000005</v>
      </c>
      <c r="I110"/>
    </row>
    <row r="111" spans="7:11" x14ac:dyDescent="0.2">
      <c r="G111" s="77" t="s">
        <v>42</v>
      </c>
      <c r="H111" s="42">
        <v>28930.78999999999</v>
      </c>
      <c r="I111"/>
    </row>
    <row r="112" spans="7:11" x14ac:dyDescent="0.2">
      <c r="G112" s="77" t="s">
        <v>43</v>
      </c>
      <c r="H112" s="42">
        <v>24824.649999999991</v>
      </c>
      <c r="I112"/>
    </row>
    <row r="113" spans="7:16" x14ac:dyDescent="0.2">
      <c r="G113" s="77" t="s">
        <v>49</v>
      </c>
      <c r="H113" s="42">
        <v>24790.800000000003</v>
      </c>
      <c r="I113"/>
    </row>
    <row r="114" spans="7:16" x14ac:dyDescent="0.2">
      <c r="G114" s="77" t="s">
        <v>47</v>
      </c>
      <c r="H114" s="42">
        <v>24025.069999999992</v>
      </c>
      <c r="I114"/>
    </row>
    <row r="115" spans="7:16" x14ac:dyDescent="0.2">
      <c r="G115" s="77" t="s">
        <v>48</v>
      </c>
      <c r="H115" s="42">
        <v>23281.159999999996</v>
      </c>
      <c r="I115"/>
    </row>
    <row r="116" spans="7:16" x14ac:dyDescent="0.2">
      <c r="G116" s="77" t="s">
        <v>51</v>
      </c>
      <c r="H116" s="42">
        <v>21875.739999999998</v>
      </c>
      <c r="I116"/>
    </row>
    <row r="117" spans="7:16" x14ac:dyDescent="0.2">
      <c r="G117" s="23" t="s">
        <v>39</v>
      </c>
      <c r="H117" s="42">
        <v>307587.38</v>
      </c>
      <c r="I117"/>
    </row>
    <row r="118" spans="7:16" x14ac:dyDescent="0.2">
      <c r="G118"/>
      <c r="H118"/>
      <c r="I118"/>
    </row>
    <row r="119" spans="7:16" ht="26" customHeight="1" x14ac:dyDescent="0.2">
      <c r="G119" s="132" t="s">
        <v>849</v>
      </c>
      <c r="H119" s="132"/>
      <c r="I119" s="132"/>
      <c r="J119" s="132"/>
      <c r="K119" s="132"/>
    </row>
    <row r="120" spans="7:16" x14ac:dyDescent="0.2">
      <c r="G120" s="19" t="s">
        <v>64</v>
      </c>
      <c r="H120" s="82" t="s">
        <v>842</v>
      </c>
      <c r="I120" s="70" t="s">
        <v>29</v>
      </c>
      <c r="J120"/>
      <c r="K120"/>
      <c r="M120"/>
      <c r="N120"/>
      <c r="O120"/>
      <c r="P120"/>
    </row>
    <row r="121" spans="7:16" x14ac:dyDescent="0.2">
      <c r="G121" s="24" t="s">
        <v>52</v>
      </c>
      <c r="H121" s="82">
        <v>108703.01000000005</v>
      </c>
      <c r="I121" s="20">
        <v>1926</v>
      </c>
      <c r="J121"/>
      <c r="K121"/>
      <c r="M121"/>
      <c r="N121"/>
      <c r="O121"/>
      <c r="P121"/>
    </row>
    <row r="122" spans="7:16" x14ac:dyDescent="0.2">
      <c r="G122" s="24" t="s">
        <v>53</v>
      </c>
      <c r="H122" s="82">
        <v>90234.770000000033</v>
      </c>
      <c r="I122" s="20">
        <v>1609</v>
      </c>
      <c r="J122"/>
      <c r="K122"/>
      <c r="M122"/>
      <c r="N122"/>
      <c r="O122"/>
      <c r="P122"/>
    </row>
    <row r="123" spans="7:16" x14ac:dyDescent="0.2">
      <c r="G123" s="24" t="s">
        <v>54</v>
      </c>
      <c r="H123" s="82">
        <v>82370.38999999997</v>
      </c>
      <c r="I123" s="20">
        <v>1504</v>
      </c>
      <c r="J123"/>
      <c r="K123"/>
      <c r="M123"/>
      <c r="N123"/>
      <c r="O123"/>
      <c r="P123"/>
    </row>
    <row r="124" spans="7:16" x14ac:dyDescent="0.2">
      <c r="G124" s="24" t="s">
        <v>55</v>
      </c>
      <c r="H124" s="82">
        <v>3523.9500000000003</v>
      </c>
      <c r="I124" s="20">
        <v>72</v>
      </c>
    </row>
    <row r="125" spans="7:16" x14ac:dyDescent="0.2">
      <c r="G125" s="24" t="s">
        <v>56</v>
      </c>
      <c r="H125" s="82">
        <v>4373.5700000000006</v>
      </c>
      <c r="I125" s="20">
        <v>82</v>
      </c>
    </row>
    <row r="126" spans="7:16" x14ac:dyDescent="0.2">
      <c r="G126" s="24" t="s">
        <v>57</v>
      </c>
      <c r="H126" s="82">
        <v>1826.5000000000002</v>
      </c>
      <c r="I126" s="20">
        <v>48</v>
      </c>
    </row>
    <row r="127" spans="7:16" x14ac:dyDescent="0.2">
      <c r="G127" s="24" t="s">
        <v>58</v>
      </c>
      <c r="H127" s="82">
        <v>6378.1500000000005</v>
      </c>
      <c r="I127" s="20">
        <v>94</v>
      </c>
    </row>
    <row r="128" spans="7:16" x14ac:dyDescent="0.2">
      <c r="G128" s="24" t="s">
        <v>59</v>
      </c>
      <c r="H128" s="82">
        <v>2739.2099999999996</v>
      </c>
      <c r="I128" s="20">
        <v>58</v>
      </c>
    </row>
    <row r="129" spans="7:11" x14ac:dyDescent="0.2">
      <c r="G129" s="24" t="s">
        <v>60</v>
      </c>
      <c r="H129" s="82">
        <v>2299.87</v>
      </c>
      <c r="I129" s="20">
        <v>35</v>
      </c>
    </row>
    <row r="130" spans="7:11" x14ac:dyDescent="0.2">
      <c r="G130" s="24" t="s">
        <v>61</v>
      </c>
      <c r="H130" s="82">
        <v>3387.87</v>
      </c>
      <c r="I130" s="20">
        <v>53</v>
      </c>
    </row>
    <row r="131" spans="7:11" x14ac:dyDescent="0.2">
      <c r="G131" s="24" t="s">
        <v>62</v>
      </c>
      <c r="H131" s="82">
        <v>1750.0900000000001</v>
      </c>
      <c r="I131" s="20">
        <v>29</v>
      </c>
    </row>
    <row r="132" spans="7:11" x14ac:dyDescent="0.2">
      <c r="G132" s="24" t="s">
        <v>39</v>
      </c>
      <c r="H132" s="82">
        <v>307587.38000000012</v>
      </c>
      <c r="I132" s="20">
        <v>5510</v>
      </c>
    </row>
    <row r="133" spans="7:11" x14ac:dyDescent="0.2">
      <c r="G133"/>
      <c r="H133"/>
      <c r="I133"/>
    </row>
    <row r="134" spans="7:11" ht="40" customHeight="1" x14ac:dyDescent="0.2">
      <c r="G134" s="133" t="s">
        <v>850</v>
      </c>
      <c r="H134" s="133"/>
      <c r="I134" s="133"/>
      <c r="J134" s="133"/>
      <c r="K134" s="133"/>
    </row>
    <row r="135" spans="7:11" x14ac:dyDescent="0.2">
      <c r="G135" s="19" t="s">
        <v>65</v>
      </c>
      <c r="H135" s="25" t="s">
        <v>66</v>
      </c>
      <c r="I135"/>
    </row>
    <row r="136" spans="7:11" x14ac:dyDescent="0.2">
      <c r="G136" s="14" t="s">
        <v>19</v>
      </c>
      <c r="H136" s="20">
        <v>340</v>
      </c>
      <c r="I136"/>
    </row>
    <row r="137" spans="7:11" x14ac:dyDescent="0.2">
      <c r="G137" s="22" t="s">
        <v>13</v>
      </c>
      <c r="H137" s="20">
        <v>167</v>
      </c>
      <c r="I137"/>
    </row>
    <row r="138" spans="7:11" x14ac:dyDescent="0.2">
      <c r="G138" s="72" t="s">
        <v>17</v>
      </c>
      <c r="H138" s="26">
        <v>62</v>
      </c>
      <c r="I138"/>
    </row>
    <row r="139" spans="7:11" x14ac:dyDescent="0.2">
      <c r="G139" s="71" t="s">
        <v>23</v>
      </c>
      <c r="H139" s="20">
        <v>56</v>
      </c>
      <c r="I139"/>
    </row>
    <row r="140" spans="7:11" x14ac:dyDescent="0.2">
      <c r="G140" s="71" t="s">
        <v>15</v>
      </c>
      <c r="H140" s="20">
        <v>49</v>
      </c>
      <c r="I140"/>
    </row>
    <row r="141" spans="7:11" x14ac:dyDescent="0.2">
      <c r="G141" s="22" t="s">
        <v>18</v>
      </c>
      <c r="H141" s="20">
        <v>173</v>
      </c>
      <c r="I141"/>
    </row>
    <row r="142" spans="7:11" x14ac:dyDescent="0.2">
      <c r="G142" s="72" t="s">
        <v>17</v>
      </c>
      <c r="H142" s="26">
        <v>64</v>
      </c>
      <c r="I142"/>
    </row>
    <row r="143" spans="7:11" x14ac:dyDescent="0.2">
      <c r="G143" s="71" t="s">
        <v>15</v>
      </c>
      <c r="H143" s="20">
        <v>55</v>
      </c>
      <c r="I143"/>
    </row>
    <row r="144" spans="7:11" x14ac:dyDescent="0.2">
      <c r="G144" s="71" t="s">
        <v>23</v>
      </c>
      <c r="H144" s="20">
        <v>54</v>
      </c>
      <c r="I144"/>
    </row>
    <row r="145" spans="7:9" x14ac:dyDescent="0.2">
      <c r="G145" s="14" t="s">
        <v>16</v>
      </c>
      <c r="H145" s="20">
        <v>322</v>
      </c>
      <c r="I145"/>
    </row>
    <row r="146" spans="7:9" x14ac:dyDescent="0.2">
      <c r="G146" s="22" t="s">
        <v>13</v>
      </c>
      <c r="H146" s="20">
        <v>172</v>
      </c>
      <c r="I146"/>
    </row>
    <row r="147" spans="7:9" x14ac:dyDescent="0.2">
      <c r="G147" s="72" t="s">
        <v>23</v>
      </c>
      <c r="H147" s="26">
        <v>62</v>
      </c>
      <c r="I147"/>
    </row>
    <row r="148" spans="7:9" x14ac:dyDescent="0.2">
      <c r="G148" s="71" t="s">
        <v>15</v>
      </c>
      <c r="H148" s="20">
        <v>61</v>
      </c>
      <c r="I148"/>
    </row>
    <row r="149" spans="7:9" x14ac:dyDescent="0.2">
      <c r="G149" s="71" t="s">
        <v>17</v>
      </c>
      <c r="H149" s="20">
        <v>49</v>
      </c>
      <c r="I149"/>
    </row>
    <row r="150" spans="7:9" x14ac:dyDescent="0.2">
      <c r="G150" s="22" t="s">
        <v>18</v>
      </c>
      <c r="H150" s="20">
        <v>150</v>
      </c>
      <c r="I150"/>
    </row>
    <row r="151" spans="7:9" x14ac:dyDescent="0.2">
      <c r="G151" s="72" t="s">
        <v>17</v>
      </c>
      <c r="H151" s="80">
        <v>60</v>
      </c>
      <c r="I151"/>
    </row>
    <row r="152" spans="7:9" x14ac:dyDescent="0.2">
      <c r="G152" s="73" t="s">
        <v>23</v>
      </c>
      <c r="H152" s="74">
        <v>55</v>
      </c>
      <c r="I152"/>
    </row>
    <row r="153" spans="7:9" x14ac:dyDescent="0.2">
      <c r="G153" s="71" t="s">
        <v>15</v>
      </c>
      <c r="H153" s="20">
        <v>35</v>
      </c>
      <c r="I153"/>
    </row>
    <row r="154" spans="7:9" x14ac:dyDescent="0.2">
      <c r="G154" s="14" t="s">
        <v>12</v>
      </c>
      <c r="H154" s="20">
        <v>338</v>
      </c>
      <c r="I154"/>
    </row>
    <row r="155" spans="7:9" x14ac:dyDescent="0.2">
      <c r="G155" s="22" t="s">
        <v>13</v>
      </c>
      <c r="H155" s="20">
        <v>162</v>
      </c>
      <c r="I155"/>
    </row>
    <row r="156" spans="7:9" x14ac:dyDescent="0.2">
      <c r="G156" s="72" t="s">
        <v>15</v>
      </c>
      <c r="H156" s="26">
        <v>62</v>
      </c>
      <c r="I156"/>
    </row>
    <row r="157" spans="7:9" x14ac:dyDescent="0.2">
      <c r="G157" s="71" t="s">
        <v>17</v>
      </c>
      <c r="H157" s="20">
        <v>50</v>
      </c>
      <c r="I157"/>
    </row>
    <row r="158" spans="7:9" x14ac:dyDescent="0.2">
      <c r="G158" s="73" t="s">
        <v>23</v>
      </c>
      <c r="H158" s="74">
        <v>50</v>
      </c>
      <c r="I158" s="75"/>
    </row>
    <row r="159" spans="7:9" x14ac:dyDescent="0.2">
      <c r="G159" s="22" t="s">
        <v>18</v>
      </c>
      <c r="H159" s="20">
        <v>176</v>
      </c>
      <c r="I159"/>
    </row>
    <row r="160" spans="7:9" x14ac:dyDescent="0.2">
      <c r="G160" s="72" t="s">
        <v>23</v>
      </c>
      <c r="H160" s="26">
        <v>67</v>
      </c>
      <c r="I160"/>
    </row>
    <row r="161" spans="7:9" x14ac:dyDescent="0.2">
      <c r="G161" s="71" t="s">
        <v>17</v>
      </c>
      <c r="H161" s="20">
        <v>60</v>
      </c>
      <c r="I161"/>
    </row>
    <row r="162" spans="7:9" x14ac:dyDescent="0.2">
      <c r="G162" s="71" t="s">
        <v>15</v>
      </c>
      <c r="H162" s="20">
        <v>49</v>
      </c>
      <c r="I162"/>
    </row>
    <row r="163" spans="7:9" x14ac:dyDescent="0.2">
      <c r="G163" s="14" t="s">
        <v>39</v>
      </c>
      <c r="H163" s="20">
        <v>1000</v>
      </c>
      <c r="I163"/>
    </row>
    <row r="164" spans="7:9" x14ac:dyDescent="0.2">
      <c r="G164"/>
      <c r="H164"/>
      <c r="I164"/>
    </row>
    <row r="165" spans="7:9" x14ac:dyDescent="0.2">
      <c r="G165"/>
      <c r="H165"/>
    </row>
    <row r="166" spans="7:9" x14ac:dyDescent="0.2">
      <c r="G166"/>
      <c r="H166"/>
    </row>
    <row r="167" spans="7:9" x14ac:dyDescent="0.2">
      <c r="G167"/>
      <c r="H167"/>
    </row>
    <row r="168" spans="7:9" x14ac:dyDescent="0.2">
      <c r="G168"/>
      <c r="H168"/>
    </row>
    <row r="169" spans="7:9" x14ac:dyDescent="0.2">
      <c r="G169"/>
      <c r="H169"/>
    </row>
    <row r="170" spans="7:9" x14ac:dyDescent="0.2">
      <c r="G170"/>
      <c r="H170"/>
    </row>
    <row r="171" spans="7:9" x14ac:dyDescent="0.2">
      <c r="G171"/>
      <c r="H171"/>
    </row>
    <row r="172" spans="7:9" x14ac:dyDescent="0.2">
      <c r="G172"/>
      <c r="H172"/>
    </row>
    <row r="173" spans="7:9" x14ac:dyDescent="0.2">
      <c r="G173"/>
      <c r="H173"/>
    </row>
    <row r="174" spans="7:9" x14ac:dyDescent="0.2">
      <c r="G174"/>
      <c r="H174"/>
    </row>
    <row r="175" spans="7:9" x14ac:dyDescent="0.2">
      <c r="G175"/>
      <c r="H175"/>
    </row>
    <row r="176" spans="7:9" x14ac:dyDescent="0.2">
      <c r="G176"/>
      <c r="H176"/>
    </row>
    <row r="177" spans="7:8" x14ac:dyDescent="0.2">
      <c r="G177"/>
      <c r="H177"/>
    </row>
    <row r="178" spans="7:8" x14ac:dyDescent="0.2">
      <c r="G178"/>
      <c r="H178"/>
    </row>
    <row r="179" spans="7:8" x14ac:dyDescent="0.2">
      <c r="G179"/>
      <c r="H179"/>
    </row>
    <row r="180" spans="7:8" x14ac:dyDescent="0.2">
      <c r="G180"/>
      <c r="H180"/>
    </row>
    <row r="181" spans="7:8" x14ac:dyDescent="0.2">
      <c r="G181"/>
      <c r="H181"/>
    </row>
    <row r="182" spans="7:8" x14ac:dyDescent="0.2">
      <c r="G182"/>
      <c r="H182"/>
    </row>
    <row r="183" spans="7:8" x14ac:dyDescent="0.2">
      <c r="G183"/>
      <c r="H183"/>
    </row>
    <row r="184" spans="7:8" x14ac:dyDescent="0.2">
      <c r="G184"/>
      <c r="H184"/>
    </row>
    <row r="185" spans="7:8" x14ac:dyDescent="0.2">
      <c r="G185"/>
      <c r="H185"/>
    </row>
    <row r="186" spans="7:8" x14ac:dyDescent="0.2">
      <c r="G186"/>
      <c r="H186"/>
    </row>
    <row r="187" spans="7:8" x14ac:dyDescent="0.2">
      <c r="G187"/>
      <c r="H187"/>
    </row>
    <row r="188" spans="7:8" x14ac:dyDescent="0.2">
      <c r="G188"/>
      <c r="H188"/>
    </row>
    <row r="189" spans="7:8" x14ac:dyDescent="0.2">
      <c r="G189"/>
      <c r="H189"/>
    </row>
    <row r="190" spans="7:8" x14ac:dyDescent="0.2">
      <c r="G190"/>
      <c r="H190"/>
    </row>
    <row r="191" spans="7:8" x14ac:dyDescent="0.2">
      <c r="G191"/>
      <c r="H191"/>
    </row>
    <row r="192" spans="7:8" x14ac:dyDescent="0.2">
      <c r="G192"/>
      <c r="H192"/>
    </row>
    <row r="193" spans="7:8" x14ac:dyDescent="0.2">
      <c r="G193"/>
      <c r="H193"/>
    </row>
    <row r="194" spans="7:8" x14ac:dyDescent="0.2">
      <c r="G194"/>
      <c r="H194"/>
    </row>
    <row r="195" spans="7:8" x14ac:dyDescent="0.2">
      <c r="G195"/>
      <c r="H195"/>
    </row>
    <row r="196" spans="7:8" x14ac:dyDescent="0.2">
      <c r="G196"/>
      <c r="H196"/>
    </row>
    <row r="197" spans="7:8" x14ac:dyDescent="0.2">
      <c r="G197"/>
      <c r="H197"/>
    </row>
    <row r="198" spans="7:8" x14ac:dyDescent="0.2">
      <c r="G198"/>
      <c r="H198"/>
    </row>
    <row r="199" spans="7:8" x14ac:dyDescent="0.2">
      <c r="G199"/>
      <c r="H199"/>
    </row>
    <row r="200" spans="7:8" x14ac:dyDescent="0.2">
      <c r="G200"/>
      <c r="H200"/>
    </row>
    <row r="201" spans="7:8" x14ac:dyDescent="0.2">
      <c r="G201"/>
      <c r="H201"/>
    </row>
    <row r="202" spans="7:8" x14ac:dyDescent="0.2">
      <c r="G202"/>
      <c r="H202"/>
    </row>
    <row r="203" spans="7:8" x14ac:dyDescent="0.2">
      <c r="G203"/>
      <c r="H203"/>
    </row>
    <row r="204" spans="7:8" x14ac:dyDescent="0.2">
      <c r="G204"/>
      <c r="H204"/>
    </row>
    <row r="205" spans="7:8" x14ac:dyDescent="0.2">
      <c r="G205"/>
      <c r="H205"/>
    </row>
    <row r="206" spans="7:8" x14ac:dyDescent="0.2">
      <c r="G206"/>
      <c r="H206"/>
    </row>
    <row r="207" spans="7:8" x14ac:dyDescent="0.2">
      <c r="G207"/>
      <c r="H207"/>
    </row>
    <row r="208" spans="7:8" x14ac:dyDescent="0.2">
      <c r="G208"/>
      <c r="H208"/>
    </row>
    <row r="209" spans="7:8" x14ac:dyDescent="0.2">
      <c r="G209"/>
      <c r="H209"/>
    </row>
    <row r="210" spans="7:8" x14ac:dyDescent="0.2">
      <c r="G210"/>
      <c r="H210"/>
    </row>
    <row r="211" spans="7:8" x14ac:dyDescent="0.2">
      <c r="G211"/>
      <c r="H211"/>
    </row>
    <row r="212" spans="7:8" x14ac:dyDescent="0.2">
      <c r="G212"/>
      <c r="H212"/>
    </row>
    <row r="213" spans="7:8" x14ac:dyDescent="0.2">
      <c r="G213"/>
      <c r="H213"/>
    </row>
    <row r="214" spans="7:8" x14ac:dyDescent="0.2">
      <c r="G214"/>
      <c r="H214"/>
    </row>
    <row r="215" spans="7:8" x14ac:dyDescent="0.2">
      <c r="G215"/>
      <c r="H215"/>
    </row>
    <row r="216" spans="7:8" x14ac:dyDescent="0.2">
      <c r="G216"/>
      <c r="H216"/>
    </row>
    <row r="217" spans="7:8" x14ac:dyDescent="0.2">
      <c r="G217"/>
      <c r="H217"/>
    </row>
    <row r="218" spans="7:8" x14ac:dyDescent="0.2">
      <c r="G218"/>
      <c r="H218"/>
    </row>
    <row r="219" spans="7:8" x14ac:dyDescent="0.2">
      <c r="G219"/>
      <c r="H219"/>
    </row>
    <row r="220" spans="7:8" x14ac:dyDescent="0.2">
      <c r="G220"/>
      <c r="H220"/>
    </row>
    <row r="221" spans="7:8" x14ac:dyDescent="0.2">
      <c r="G221"/>
      <c r="H221"/>
    </row>
    <row r="222" spans="7:8" x14ac:dyDescent="0.2">
      <c r="G222"/>
      <c r="H222"/>
    </row>
    <row r="223" spans="7:8" x14ac:dyDescent="0.2">
      <c r="G223"/>
      <c r="H223"/>
    </row>
    <row r="224" spans="7:8" x14ac:dyDescent="0.2">
      <c r="G224"/>
      <c r="H224"/>
    </row>
    <row r="225" spans="7:8" x14ac:dyDescent="0.2">
      <c r="G225"/>
      <c r="H225"/>
    </row>
    <row r="226" spans="7:8" x14ac:dyDescent="0.2">
      <c r="G226"/>
      <c r="H226"/>
    </row>
    <row r="227" spans="7:8" x14ac:dyDescent="0.2">
      <c r="G227"/>
      <c r="H227"/>
    </row>
    <row r="228" spans="7:8" x14ac:dyDescent="0.2">
      <c r="G228"/>
    </row>
    <row r="229" spans="7:8" x14ac:dyDescent="0.2">
      <c r="G229"/>
    </row>
    <row r="230" spans="7:8" x14ac:dyDescent="0.2">
      <c r="G230"/>
    </row>
    <row r="231" spans="7:8" x14ac:dyDescent="0.2">
      <c r="G231"/>
    </row>
    <row r="232" spans="7:8" x14ac:dyDescent="0.2">
      <c r="G232"/>
    </row>
    <row r="233" spans="7:8" x14ac:dyDescent="0.2">
      <c r="G233"/>
    </row>
    <row r="234" spans="7:8" x14ac:dyDescent="0.2">
      <c r="G234"/>
    </row>
    <row r="235" spans="7:8" x14ac:dyDescent="0.2">
      <c r="G235"/>
    </row>
    <row r="236" spans="7:8" x14ac:dyDescent="0.2">
      <c r="G236"/>
    </row>
    <row r="237" spans="7:8" x14ac:dyDescent="0.2">
      <c r="G237"/>
    </row>
    <row r="238" spans="7:8" x14ac:dyDescent="0.2">
      <c r="G238"/>
    </row>
    <row r="239" spans="7:8" x14ac:dyDescent="0.2">
      <c r="G239"/>
    </row>
    <row r="240" spans="7:8" x14ac:dyDescent="0.2">
      <c r="G240"/>
    </row>
    <row r="241" spans="7:7" x14ac:dyDescent="0.2">
      <c r="G241"/>
    </row>
    <row r="242" spans="7:7" x14ac:dyDescent="0.2">
      <c r="G242"/>
    </row>
    <row r="243" spans="7:7" x14ac:dyDescent="0.2">
      <c r="G243"/>
    </row>
    <row r="244" spans="7:7" x14ac:dyDescent="0.2">
      <c r="G244"/>
    </row>
    <row r="245" spans="7:7" x14ac:dyDescent="0.2">
      <c r="G245"/>
    </row>
    <row r="246" spans="7:7" x14ac:dyDescent="0.2">
      <c r="G246"/>
    </row>
    <row r="247" spans="7:7" x14ac:dyDescent="0.2">
      <c r="G247"/>
    </row>
    <row r="248" spans="7:7" x14ac:dyDescent="0.2">
      <c r="G248"/>
    </row>
    <row r="249" spans="7:7" x14ac:dyDescent="0.2">
      <c r="G249"/>
    </row>
    <row r="250" spans="7:7" x14ac:dyDescent="0.2">
      <c r="G250"/>
    </row>
    <row r="251" spans="7:7" x14ac:dyDescent="0.2">
      <c r="G251"/>
    </row>
    <row r="252" spans="7:7" x14ac:dyDescent="0.2">
      <c r="G252"/>
    </row>
    <row r="253" spans="7:7" x14ac:dyDescent="0.2">
      <c r="G253"/>
    </row>
    <row r="254" spans="7:7" x14ac:dyDescent="0.2">
      <c r="G254"/>
    </row>
    <row r="255" spans="7:7" x14ac:dyDescent="0.2">
      <c r="G255"/>
    </row>
    <row r="256" spans="7:7" x14ac:dyDescent="0.2">
      <c r="G256"/>
    </row>
    <row r="257" spans="7:7" x14ac:dyDescent="0.2">
      <c r="G257"/>
    </row>
    <row r="258" spans="7:7" x14ac:dyDescent="0.2">
      <c r="G258"/>
    </row>
    <row r="259" spans="7:7" x14ac:dyDescent="0.2">
      <c r="G259"/>
    </row>
    <row r="260" spans="7:7" x14ac:dyDescent="0.2">
      <c r="G260"/>
    </row>
    <row r="261" spans="7:7" x14ac:dyDescent="0.2">
      <c r="G261"/>
    </row>
    <row r="262" spans="7:7" x14ac:dyDescent="0.2">
      <c r="G262"/>
    </row>
    <row r="263" spans="7:7" x14ac:dyDescent="0.2">
      <c r="G263"/>
    </row>
    <row r="264" spans="7:7" x14ac:dyDescent="0.2">
      <c r="G264"/>
    </row>
    <row r="265" spans="7:7" x14ac:dyDescent="0.2">
      <c r="G265"/>
    </row>
    <row r="266" spans="7:7" x14ac:dyDescent="0.2">
      <c r="G266"/>
    </row>
    <row r="267" spans="7:7" x14ac:dyDescent="0.2">
      <c r="G267"/>
    </row>
    <row r="268" spans="7:7" x14ac:dyDescent="0.2">
      <c r="G268"/>
    </row>
    <row r="269" spans="7:7" x14ac:dyDescent="0.2">
      <c r="G269"/>
    </row>
    <row r="270" spans="7:7" x14ac:dyDescent="0.2">
      <c r="G270"/>
    </row>
    <row r="271" spans="7:7" x14ac:dyDescent="0.2">
      <c r="G271"/>
    </row>
    <row r="272" spans="7:7" x14ac:dyDescent="0.2">
      <c r="G272"/>
    </row>
    <row r="273" spans="7:7" x14ac:dyDescent="0.2">
      <c r="G273"/>
    </row>
    <row r="274" spans="7:7" x14ac:dyDescent="0.2">
      <c r="G274"/>
    </row>
    <row r="275" spans="7:7" x14ac:dyDescent="0.2">
      <c r="G275"/>
    </row>
    <row r="276" spans="7:7" x14ac:dyDescent="0.2">
      <c r="G276"/>
    </row>
    <row r="277" spans="7:7" x14ac:dyDescent="0.2">
      <c r="G277"/>
    </row>
    <row r="278" spans="7:7" x14ac:dyDescent="0.2">
      <c r="G278"/>
    </row>
    <row r="279" spans="7:7" x14ac:dyDescent="0.2">
      <c r="G279"/>
    </row>
    <row r="280" spans="7:7" x14ac:dyDescent="0.2">
      <c r="G280"/>
    </row>
    <row r="281" spans="7:7" x14ac:dyDescent="0.2">
      <c r="G281"/>
    </row>
    <row r="282" spans="7:7" x14ac:dyDescent="0.2">
      <c r="G282"/>
    </row>
    <row r="283" spans="7:7" x14ac:dyDescent="0.2">
      <c r="G283"/>
    </row>
    <row r="284" spans="7:7" x14ac:dyDescent="0.2">
      <c r="G284"/>
    </row>
    <row r="285" spans="7:7" x14ac:dyDescent="0.2">
      <c r="G285"/>
    </row>
    <row r="286" spans="7:7" x14ac:dyDescent="0.2">
      <c r="G286"/>
    </row>
    <row r="287" spans="7:7" x14ac:dyDescent="0.2">
      <c r="G287"/>
    </row>
    <row r="288" spans="7:7" x14ac:dyDescent="0.2">
      <c r="G288"/>
    </row>
    <row r="289" spans="7:7" x14ac:dyDescent="0.2">
      <c r="G289"/>
    </row>
    <row r="290" spans="7:7" x14ac:dyDescent="0.2">
      <c r="G290"/>
    </row>
    <row r="291" spans="7:7" x14ac:dyDescent="0.2">
      <c r="G291"/>
    </row>
    <row r="292" spans="7:7" x14ac:dyDescent="0.2">
      <c r="G292"/>
    </row>
    <row r="293" spans="7:7" x14ac:dyDescent="0.2">
      <c r="G293"/>
    </row>
    <row r="294" spans="7:7" x14ac:dyDescent="0.2">
      <c r="G294"/>
    </row>
    <row r="295" spans="7:7" x14ac:dyDescent="0.2">
      <c r="G295"/>
    </row>
    <row r="296" spans="7:7" x14ac:dyDescent="0.2">
      <c r="G296"/>
    </row>
    <row r="297" spans="7:7" x14ac:dyDescent="0.2">
      <c r="G297"/>
    </row>
    <row r="298" spans="7:7" x14ac:dyDescent="0.2">
      <c r="G298"/>
    </row>
    <row r="299" spans="7:7" x14ac:dyDescent="0.2">
      <c r="G299"/>
    </row>
    <row r="300" spans="7:7" x14ac:dyDescent="0.2">
      <c r="G300"/>
    </row>
    <row r="301" spans="7:7" x14ac:dyDescent="0.2">
      <c r="G301"/>
    </row>
    <row r="302" spans="7:7" x14ac:dyDescent="0.2">
      <c r="G302"/>
    </row>
    <row r="303" spans="7:7" x14ac:dyDescent="0.2">
      <c r="G303"/>
    </row>
    <row r="304" spans="7:7" x14ac:dyDescent="0.2">
      <c r="G304"/>
    </row>
    <row r="305" spans="7:7" x14ac:dyDescent="0.2">
      <c r="G305"/>
    </row>
    <row r="306" spans="7:7" x14ac:dyDescent="0.2">
      <c r="G306"/>
    </row>
    <row r="307" spans="7:7" x14ac:dyDescent="0.2">
      <c r="G307"/>
    </row>
    <row r="308" spans="7:7" x14ac:dyDescent="0.2">
      <c r="G308"/>
    </row>
    <row r="309" spans="7:7" x14ac:dyDescent="0.2">
      <c r="G309"/>
    </row>
    <row r="310" spans="7:7" x14ac:dyDescent="0.2">
      <c r="G310"/>
    </row>
    <row r="311" spans="7:7" x14ac:dyDescent="0.2">
      <c r="G311"/>
    </row>
    <row r="312" spans="7:7" x14ac:dyDescent="0.2">
      <c r="G312"/>
    </row>
    <row r="313" spans="7:7" x14ac:dyDescent="0.2">
      <c r="G313"/>
    </row>
    <row r="314" spans="7:7" x14ac:dyDescent="0.2">
      <c r="G314"/>
    </row>
    <row r="315" spans="7:7" x14ac:dyDescent="0.2">
      <c r="G315"/>
    </row>
    <row r="316" spans="7:7" x14ac:dyDescent="0.2">
      <c r="G316"/>
    </row>
    <row r="317" spans="7:7" x14ac:dyDescent="0.2">
      <c r="G317"/>
    </row>
    <row r="318" spans="7:7" x14ac:dyDescent="0.2">
      <c r="G318"/>
    </row>
    <row r="319" spans="7:7" x14ac:dyDescent="0.2">
      <c r="G319"/>
    </row>
    <row r="320" spans="7:7" x14ac:dyDescent="0.2">
      <c r="G320"/>
    </row>
    <row r="321" spans="7:7" x14ac:dyDescent="0.2">
      <c r="G321"/>
    </row>
    <row r="322" spans="7:7" x14ac:dyDescent="0.2">
      <c r="G322"/>
    </row>
    <row r="323" spans="7:7" x14ac:dyDescent="0.2">
      <c r="G323"/>
    </row>
    <row r="324" spans="7:7" x14ac:dyDescent="0.2">
      <c r="G324"/>
    </row>
    <row r="325" spans="7:7" x14ac:dyDescent="0.2">
      <c r="G325"/>
    </row>
    <row r="326" spans="7:7" x14ac:dyDescent="0.2">
      <c r="G326"/>
    </row>
    <row r="327" spans="7:7" x14ac:dyDescent="0.2">
      <c r="G327"/>
    </row>
    <row r="328" spans="7:7" x14ac:dyDescent="0.2">
      <c r="G328"/>
    </row>
    <row r="329" spans="7:7" x14ac:dyDescent="0.2">
      <c r="G329"/>
    </row>
    <row r="330" spans="7:7" x14ac:dyDescent="0.2">
      <c r="G330"/>
    </row>
    <row r="331" spans="7:7" x14ac:dyDescent="0.2">
      <c r="G331"/>
    </row>
    <row r="332" spans="7:7" x14ac:dyDescent="0.2">
      <c r="G332"/>
    </row>
    <row r="333" spans="7:7" x14ac:dyDescent="0.2">
      <c r="G333"/>
    </row>
    <row r="334" spans="7:7" x14ac:dyDescent="0.2">
      <c r="G334"/>
    </row>
    <row r="335" spans="7:7" x14ac:dyDescent="0.2">
      <c r="G335"/>
    </row>
    <row r="336" spans="7:7" x14ac:dyDescent="0.2">
      <c r="G336"/>
    </row>
    <row r="337" spans="7:7" x14ac:dyDescent="0.2">
      <c r="G337"/>
    </row>
    <row r="338" spans="7:7" x14ac:dyDescent="0.2">
      <c r="G338"/>
    </row>
    <row r="339" spans="7:7" x14ac:dyDescent="0.2">
      <c r="G339"/>
    </row>
    <row r="340" spans="7:7" x14ac:dyDescent="0.2">
      <c r="G340"/>
    </row>
    <row r="341" spans="7:7" x14ac:dyDescent="0.2">
      <c r="G341"/>
    </row>
    <row r="342" spans="7:7" x14ac:dyDescent="0.2">
      <c r="G342"/>
    </row>
    <row r="343" spans="7:7" x14ac:dyDescent="0.2">
      <c r="G343"/>
    </row>
    <row r="344" spans="7:7" x14ac:dyDescent="0.2">
      <c r="G344"/>
    </row>
    <row r="345" spans="7:7" x14ac:dyDescent="0.2">
      <c r="G345"/>
    </row>
    <row r="346" spans="7:7" x14ac:dyDescent="0.2">
      <c r="G346"/>
    </row>
    <row r="347" spans="7:7" x14ac:dyDescent="0.2">
      <c r="G347"/>
    </row>
    <row r="348" spans="7:7" x14ac:dyDescent="0.2">
      <c r="G348"/>
    </row>
    <row r="349" spans="7:7" x14ac:dyDescent="0.2">
      <c r="G349"/>
    </row>
    <row r="350" spans="7:7" x14ac:dyDescent="0.2">
      <c r="G350"/>
    </row>
    <row r="351" spans="7:7" x14ac:dyDescent="0.2">
      <c r="G351"/>
    </row>
    <row r="352" spans="7:7" x14ac:dyDescent="0.2">
      <c r="G352"/>
    </row>
    <row r="353" spans="7:7" x14ac:dyDescent="0.2">
      <c r="G353"/>
    </row>
    <row r="354" spans="7:7" x14ac:dyDescent="0.2">
      <c r="G354"/>
    </row>
    <row r="355" spans="7:7" x14ac:dyDescent="0.2">
      <c r="G355"/>
    </row>
    <row r="356" spans="7:7" x14ac:dyDescent="0.2">
      <c r="G356"/>
    </row>
    <row r="357" spans="7:7" x14ac:dyDescent="0.2">
      <c r="G357"/>
    </row>
    <row r="358" spans="7:7" x14ac:dyDescent="0.2">
      <c r="G358"/>
    </row>
    <row r="359" spans="7:7" x14ac:dyDescent="0.2">
      <c r="G359"/>
    </row>
    <row r="360" spans="7:7" x14ac:dyDescent="0.2">
      <c r="G360"/>
    </row>
    <row r="361" spans="7:7" x14ac:dyDescent="0.2">
      <c r="G361"/>
    </row>
    <row r="362" spans="7:7" x14ac:dyDescent="0.2">
      <c r="G362"/>
    </row>
    <row r="363" spans="7:7" x14ac:dyDescent="0.2">
      <c r="G363"/>
    </row>
    <row r="364" spans="7:7" x14ac:dyDescent="0.2">
      <c r="G364"/>
    </row>
    <row r="365" spans="7:7" x14ac:dyDescent="0.2">
      <c r="G365"/>
    </row>
    <row r="366" spans="7:7" x14ac:dyDescent="0.2">
      <c r="G366"/>
    </row>
    <row r="367" spans="7:7" x14ac:dyDescent="0.2">
      <c r="G367"/>
    </row>
    <row r="368" spans="7:7" x14ac:dyDescent="0.2">
      <c r="G368"/>
    </row>
    <row r="369" spans="7:7" x14ac:dyDescent="0.2">
      <c r="G369"/>
    </row>
    <row r="370" spans="7:7" x14ac:dyDescent="0.2">
      <c r="G370"/>
    </row>
    <row r="371" spans="7:7" x14ac:dyDescent="0.2">
      <c r="G371"/>
    </row>
    <row r="372" spans="7:7" x14ac:dyDescent="0.2">
      <c r="G372"/>
    </row>
    <row r="373" spans="7:7" x14ac:dyDescent="0.2">
      <c r="G373"/>
    </row>
    <row r="374" spans="7:7" x14ac:dyDescent="0.2">
      <c r="G374"/>
    </row>
    <row r="375" spans="7:7" x14ac:dyDescent="0.2">
      <c r="G375"/>
    </row>
    <row r="376" spans="7:7" x14ac:dyDescent="0.2">
      <c r="G376"/>
    </row>
    <row r="377" spans="7:7" x14ac:dyDescent="0.2">
      <c r="G377"/>
    </row>
    <row r="378" spans="7:7" x14ac:dyDescent="0.2">
      <c r="G378"/>
    </row>
    <row r="379" spans="7:7" x14ac:dyDescent="0.2">
      <c r="G379"/>
    </row>
    <row r="380" spans="7:7" x14ac:dyDescent="0.2">
      <c r="G380"/>
    </row>
    <row r="381" spans="7:7" x14ac:dyDescent="0.2">
      <c r="G381"/>
    </row>
    <row r="382" spans="7:7" x14ac:dyDescent="0.2">
      <c r="G382"/>
    </row>
    <row r="383" spans="7:7" x14ac:dyDescent="0.2">
      <c r="G383"/>
    </row>
    <row r="384" spans="7:7" x14ac:dyDescent="0.2">
      <c r="G384"/>
    </row>
    <row r="385" spans="7:7" x14ac:dyDescent="0.2">
      <c r="G385"/>
    </row>
    <row r="386" spans="7:7" x14ac:dyDescent="0.2">
      <c r="G386"/>
    </row>
    <row r="387" spans="7:7" x14ac:dyDescent="0.2">
      <c r="G387"/>
    </row>
    <row r="388" spans="7:7" x14ac:dyDescent="0.2">
      <c r="G388"/>
    </row>
    <row r="389" spans="7:7" x14ac:dyDescent="0.2">
      <c r="G389"/>
    </row>
    <row r="390" spans="7:7" x14ac:dyDescent="0.2">
      <c r="G390"/>
    </row>
    <row r="391" spans="7:7" x14ac:dyDescent="0.2">
      <c r="G391"/>
    </row>
    <row r="392" spans="7:7" x14ac:dyDescent="0.2">
      <c r="G392"/>
    </row>
    <row r="393" spans="7:7" x14ac:dyDescent="0.2">
      <c r="G393"/>
    </row>
    <row r="394" spans="7:7" x14ac:dyDescent="0.2">
      <c r="G394"/>
    </row>
    <row r="395" spans="7:7" x14ac:dyDescent="0.2">
      <c r="G395"/>
    </row>
    <row r="396" spans="7:7" x14ac:dyDescent="0.2">
      <c r="G396"/>
    </row>
    <row r="397" spans="7:7" x14ac:dyDescent="0.2">
      <c r="G397"/>
    </row>
    <row r="398" spans="7:7" x14ac:dyDescent="0.2">
      <c r="G398"/>
    </row>
    <row r="399" spans="7:7" x14ac:dyDescent="0.2">
      <c r="G399"/>
    </row>
    <row r="400" spans="7:7" x14ac:dyDescent="0.2">
      <c r="G400"/>
    </row>
    <row r="401" spans="7:7" x14ac:dyDescent="0.2">
      <c r="G401"/>
    </row>
    <row r="402" spans="7:7" x14ac:dyDescent="0.2">
      <c r="G402"/>
    </row>
    <row r="403" spans="7:7" x14ac:dyDescent="0.2">
      <c r="G403"/>
    </row>
    <row r="404" spans="7:7" x14ac:dyDescent="0.2">
      <c r="G404"/>
    </row>
    <row r="405" spans="7:7" x14ac:dyDescent="0.2">
      <c r="G405"/>
    </row>
    <row r="406" spans="7:7" x14ac:dyDescent="0.2">
      <c r="G406"/>
    </row>
    <row r="407" spans="7:7" x14ac:dyDescent="0.2">
      <c r="G407"/>
    </row>
    <row r="408" spans="7:7" x14ac:dyDescent="0.2">
      <c r="G408"/>
    </row>
    <row r="409" spans="7:7" x14ac:dyDescent="0.2">
      <c r="G409"/>
    </row>
    <row r="410" spans="7:7" x14ac:dyDescent="0.2">
      <c r="G410"/>
    </row>
    <row r="411" spans="7:7" x14ac:dyDescent="0.2">
      <c r="G411"/>
    </row>
    <row r="412" spans="7:7" x14ac:dyDescent="0.2">
      <c r="G412"/>
    </row>
    <row r="413" spans="7:7" x14ac:dyDescent="0.2">
      <c r="G413"/>
    </row>
    <row r="414" spans="7:7" x14ac:dyDescent="0.2">
      <c r="G414"/>
    </row>
    <row r="415" spans="7:7" x14ac:dyDescent="0.2">
      <c r="G415"/>
    </row>
    <row r="416" spans="7:7" x14ac:dyDescent="0.2">
      <c r="G416"/>
    </row>
    <row r="417" spans="7:7" x14ac:dyDescent="0.2">
      <c r="G417"/>
    </row>
    <row r="418" spans="7:7" x14ac:dyDescent="0.2">
      <c r="G418"/>
    </row>
    <row r="419" spans="7:7" x14ac:dyDescent="0.2">
      <c r="G419"/>
    </row>
    <row r="420" spans="7:7" x14ac:dyDescent="0.2">
      <c r="G420"/>
    </row>
    <row r="421" spans="7:7" x14ac:dyDescent="0.2">
      <c r="G421"/>
    </row>
    <row r="422" spans="7:7" x14ac:dyDescent="0.2">
      <c r="G422"/>
    </row>
    <row r="423" spans="7:7" x14ac:dyDescent="0.2">
      <c r="G423"/>
    </row>
    <row r="424" spans="7:7" x14ac:dyDescent="0.2">
      <c r="G424"/>
    </row>
    <row r="425" spans="7:7" x14ac:dyDescent="0.2">
      <c r="G425"/>
    </row>
    <row r="426" spans="7:7" x14ac:dyDescent="0.2">
      <c r="G426"/>
    </row>
    <row r="427" spans="7:7" x14ac:dyDescent="0.2">
      <c r="G427"/>
    </row>
    <row r="428" spans="7:7" x14ac:dyDescent="0.2">
      <c r="G428"/>
    </row>
    <row r="429" spans="7:7" x14ac:dyDescent="0.2">
      <c r="G429"/>
    </row>
    <row r="430" spans="7:7" x14ac:dyDescent="0.2">
      <c r="G430"/>
    </row>
    <row r="431" spans="7:7" x14ac:dyDescent="0.2">
      <c r="G431"/>
    </row>
    <row r="432" spans="7:7" x14ac:dyDescent="0.2">
      <c r="G432"/>
    </row>
    <row r="433" spans="7:7" x14ac:dyDescent="0.2">
      <c r="G433"/>
    </row>
    <row r="434" spans="7:7" x14ac:dyDescent="0.2">
      <c r="G434"/>
    </row>
    <row r="435" spans="7:7" x14ac:dyDescent="0.2">
      <c r="G435"/>
    </row>
    <row r="436" spans="7:7" x14ac:dyDescent="0.2">
      <c r="G436"/>
    </row>
    <row r="437" spans="7:7" x14ac:dyDescent="0.2">
      <c r="G437"/>
    </row>
    <row r="438" spans="7:7" x14ac:dyDescent="0.2">
      <c r="G438"/>
    </row>
    <row r="439" spans="7:7" x14ac:dyDescent="0.2">
      <c r="G439"/>
    </row>
    <row r="440" spans="7:7" x14ac:dyDescent="0.2">
      <c r="G440"/>
    </row>
    <row r="441" spans="7:7" x14ac:dyDescent="0.2">
      <c r="G441"/>
    </row>
    <row r="442" spans="7:7" x14ac:dyDescent="0.2">
      <c r="G442"/>
    </row>
    <row r="443" spans="7:7" x14ac:dyDescent="0.2">
      <c r="G443"/>
    </row>
    <row r="444" spans="7:7" x14ac:dyDescent="0.2">
      <c r="G444"/>
    </row>
    <row r="445" spans="7:7" x14ac:dyDescent="0.2">
      <c r="G445"/>
    </row>
    <row r="446" spans="7:7" x14ac:dyDescent="0.2">
      <c r="G446"/>
    </row>
    <row r="447" spans="7:7" x14ac:dyDescent="0.2">
      <c r="G447"/>
    </row>
    <row r="448" spans="7:7" x14ac:dyDescent="0.2">
      <c r="G448"/>
    </row>
    <row r="449" spans="7:7" x14ac:dyDescent="0.2">
      <c r="G449"/>
    </row>
    <row r="450" spans="7:7" x14ac:dyDescent="0.2">
      <c r="G450"/>
    </row>
    <row r="451" spans="7:7" x14ac:dyDescent="0.2">
      <c r="G451"/>
    </row>
    <row r="452" spans="7:7" x14ac:dyDescent="0.2">
      <c r="G452"/>
    </row>
    <row r="453" spans="7:7" x14ac:dyDescent="0.2">
      <c r="G453"/>
    </row>
    <row r="454" spans="7:7" x14ac:dyDescent="0.2">
      <c r="G454"/>
    </row>
    <row r="455" spans="7:7" x14ac:dyDescent="0.2">
      <c r="G455"/>
    </row>
    <row r="456" spans="7:7" x14ac:dyDescent="0.2">
      <c r="G456"/>
    </row>
    <row r="457" spans="7:7" x14ac:dyDescent="0.2">
      <c r="G457"/>
    </row>
    <row r="458" spans="7:7" x14ac:dyDescent="0.2">
      <c r="G458"/>
    </row>
    <row r="459" spans="7:7" x14ac:dyDescent="0.2">
      <c r="G459"/>
    </row>
    <row r="460" spans="7:7" x14ac:dyDescent="0.2">
      <c r="G460"/>
    </row>
    <row r="461" spans="7:7" x14ac:dyDescent="0.2">
      <c r="G461"/>
    </row>
    <row r="462" spans="7:7" x14ac:dyDescent="0.2">
      <c r="G462"/>
    </row>
    <row r="463" spans="7:7" x14ac:dyDescent="0.2">
      <c r="G463"/>
    </row>
    <row r="464" spans="7:7" x14ac:dyDescent="0.2">
      <c r="G464"/>
    </row>
    <row r="465" spans="7:7" x14ac:dyDescent="0.2">
      <c r="G465"/>
    </row>
    <row r="466" spans="7:7" x14ac:dyDescent="0.2">
      <c r="G466"/>
    </row>
    <row r="467" spans="7:7" x14ac:dyDescent="0.2">
      <c r="G467"/>
    </row>
    <row r="468" spans="7:7" x14ac:dyDescent="0.2">
      <c r="G468"/>
    </row>
    <row r="469" spans="7:7" x14ac:dyDescent="0.2">
      <c r="G469"/>
    </row>
    <row r="470" spans="7:7" x14ac:dyDescent="0.2">
      <c r="G470"/>
    </row>
    <row r="471" spans="7:7" x14ac:dyDescent="0.2">
      <c r="G471"/>
    </row>
    <row r="472" spans="7:7" x14ac:dyDescent="0.2">
      <c r="G472"/>
    </row>
    <row r="473" spans="7:7" x14ac:dyDescent="0.2">
      <c r="G473"/>
    </row>
    <row r="474" spans="7:7" x14ac:dyDescent="0.2">
      <c r="G474"/>
    </row>
    <row r="475" spans="7:7" x14ac:dyDescent="0.2">
      <c r="G475"/>
    </row>
    <row r="476" spans="7:7" x14ac:dyDescent="0.2">
      <c r="G476"/>
    </row>
    <row r="477" spans="7:7" x14ac:dyDescent="0.2">
      <c r="G477"/>
    </row>
    <row r="478" spans="7:7" x14ac:dyDescent="0.2">
      <c r="G478"/>
    </row>
    <row r="479" spans="7:7" x14ac:dyDescent="0.2">
      <c r="G479"/>
    </row>
    <row r="480" spans="7:7" x14ac:dyDescent="0.2">
      <c r="G480"/>
    </row>
    <row r="481" spans="7:7" x14ac:dyDescent="0.2">
      <c r="G481"/>
    </row>
    <row r="482" spans="7:7" x14ac:dyDescent="0.2">
      <c r="G482"/>
    </row>
    <row r="483" spans="7:7" x14ac:dyDescent="0.2">
      <c r="G483"/>
    </row>
    <row r="484" spans="7:7" x14ac:dyDescent="0.2">
      <c r="G484"/>
    </row>
    <row r="485" spans="7:7" x14ac:dyDescent="0.2">
      <c r="G485"/>
    </row>
    <row r="486" spans="7:7" x14ac:dyDescent="0.2">
      <c r="G486"/>
    </row>
    <row r="487" spans="7:7" x14ac:dyDescent="0.2">
      <c r="G487"/>
    </row>
    <row r="488" spans="7:7" x14ac:dyDescent="0.2">
      <c r="G488"/>
    </row>
    <row r="489" spans="7:7" x14ac:dyDescent="0.2">
      <c r="G489"/>
    </row>
    <row r="490" spans="7:7" x14ac:dyDescent="0.2">
      <c r="G490"/>
    </row>
    <row r="491" spans="7:7" x14ac:dyDescent="0.2">
      <c r="G491"/>
    </row>
    <row r="492" spans="7:7" x14ac:dyDescent="0.2">
      <c r="G492"/>
    </row>
    <row r="493" spans="7:7" x14ac:dyDescent="0.2">
      <c r="G493"/>
    </row>
    <row r="494" spans="7:7" x14ac:dyDescent="0.2">
      <c r="G494"/>
    </row>
    <row r="495" spans="7:7" x14ac:dyDescent="0.2">
      <c r="G495"/>
    </row>
    <row r="496" spans="7:7" x14ac:dyDescent="0.2">
      <c r="G496"/>
    </row>
    <row r="497" spans="7:7" x14ac:dyDescent="0.2">
      <c r="G497"/>
    </row>
    <row r="498" spans="7:7" x14ac:dyDescent="0.2">
      <c r="G498"/>
    </row>
    <row r="499" spans="7:7" x14ac:dyDescent="0.2">
      <c r="G499"/>
    </row>
    <row r="500" spans="7:7" x14ac:dyDescent="0.2">
      <c r="G500"/>
    </row>
    <row r="501" spans="7:7" x14ac:dyDescent="0.2">
      <c r="G501"/>
    </row>
    <row r="502" spans="7:7" x14ac:dyDescent="0.2">
      <c r="G502"/>
    </row>
    <row r="503" spans="7:7" x14ac:dyDescent="0.2">
      <c r="G503"/>
    </row>
    <row r="504" spans="7:7" x14ac:dyDescent="0.2">
      <c r="G504"/>
    </row>
    <row r="505" spans="7:7" x14ac:dyDescent="0.2">
      <c r="G505"/>
    </row>
    <row r="506" spans="7:7" x14ac:dyDescent="0.2">
      <c r="G506"/>
    </row>
    <row r="507" spans="7:7" x14ac:dyDescent="0.2">
      <c r="G507"/>
    </row>
    <row r="508" spans="7:7" x14ac:dyDescent="0.2">
      <c r="G508"/>
    </row>
    <row r="509" spans="7:7" x14ac:dyDescent="0.2">
      <c r="G509"/>
    </row>
    <row r="510" spans="7:7" x14ac:dyDescent="0.2">
      <c r="G510"/>
    </row>
    <row r="511" spans="7:7" x14ac:dyDescent="0.2">
      <c r="G511"/>
    </row>
    <row r="512" spans="7:7" x14ac:dyDescent="0.2">
      <c r="G512"/>
    </row>
    <row r="513" spans="7:7" x14ac:dyDescent="0.2">
      <c r="G513"/>
    </row>
    <row r="514" spans="7:7" x14ac:dyDescent="0.2">
      <c r="G514"/>
    </row>
    <row r="515" spans="7:7" x14ac:dyDescent="0.2">
      <c r="G515"/>
    </row>
    <row r="516" spans="7:7" x14ac:dyDescent="0.2">
      <c r="G516"/>
    </row>
    <row r="517" spans="7:7" x14ac:dyDescent="0.2">
      <c r="G517"/>
    </row>
    <row r="518" spans="7:7" x14ac:dyDescent="0.2">
      <c r="G518"/>
    </row>
    <row r="519" spans="7:7" x14ac:dyDescent="0.2">
      <c r="G519"/>
    </row>
    <row r="520" spans="7:7" x14ac:dyDescent="0.2">
      <c r="G520"/>
    </row>
    <row r="521" spans="7:7" x14ac:dyDescent="0.2">
      <c r="G521"/>
    </row>
    <row r="522" spans="7:7" x14ac:dyDescent="0.2">
      <c r="G522"/>
    </row>
    <row r="523" spans="7:7" x14ac:dyDescent="0.2">
      <c r="G523"/>
    </row>
    <row r="524" spans="7:7" x14ac:dyDescent="0.2">
      <c r="G524"/>
    </row>
    <row r="525" spans="7:7" x14ac:dyDescent="0.2">
      <c r="G525"/>
    </row>
    <row r="526" spans="7:7" x14ac:dyDescent="0.2">
      <c r="G526"/>
    </row>
    <row r="527" spans="7:7" x14ac:dyDescent="0.2">
      <c r="G527"/>
    </row>
    <row r="528" spans="7:7" x14ac:dyDescent="0.2">
      <c r="G528"/>
    </row>
    <row r="529" spans="7:7" x14ac:dyDescent="0.2">
      <c r="G529"/>
    </row>
    <row r="530" spans="7:7" x14ac:dyDescent="0.2">
      <c r="G530"/>
    </row>
    <row r="531" spans="7:7" x14ac:dyDescent="0.2">
      <c r="G531"/>
    </row>
    <row r="532" spans="7:7" x14ac:dyDescent="0.2">
      <c r="G532"/>
    </row>
    <row r="533" spans="7:7" x14ac:dyDescent="0.2">
      <c r="G533"/>
    </row>
    <row r="534" spans="7:7" x14ac:dyDescent="0.2">
      <c r="G534"/>
    </row>
    <row r="535" spans="7:7" x14ac:dyDescent="0.2">
      <c r="G535"/>
    </row>
    <row r="536" spans="7:7" x14ac:dyDescent="0.2">
      <c r="G536"/>
    </row>
    <row r="537" spans="7:7" x14ac:dyDescent="0.2">
      <c r="G537"/>
    </row>
    <row r="538" spans="7:7" x14ac:dyDescent="0.2">
      <c r="G538"/>
    </row>
    <row r="539" spans="7:7" x14ac:dyDescent="0.2">
      <c r="G539"/>
    </row>
    <row r="540" spans="7:7" x14ac:dyDescent="0.2">
      <c r="G540"/>
    </row>
    <row r="541" spans="7:7" x14ac:dyDescent="0.2">
      <c r="G541"/>
    </row>
    <row r="542" spans="7:7" x14ac:dyDescent="0.2">
      <c r="G542"/>
    </row>
    <row r="543" spans="7:7" x14ac:dyDescent="0.2">
      <c r="G543"/>
    </row>
    <row r="544" spans="7:7" x14ac:dyDescent="0.2">
      <c r="G544"/>
    </row>
    <row r="545" spans="7:7" x14ac:dyDescent="0.2">
      <c r="G545"/>
    </row>
    <row r="546" spans="7:7" x14ac:dyDescent="0.2">
      <c r="G546"/>
    </row>
    <row r="547" spans="7:7" x14ac:dyDescent="0.2">
      <c r="G547"/>
    </row>
    <row r="548" spans="7:7" x14ac:dyDescent="0.2">
      <c r="G548"/>
    </row>
    <row r="549" spans="7:7" x14ac:dyDescent="0.2">
      <c r="G549"/>
    </row>
    <row r="550" spans="7:7" x14ac:dyDescent="0.2">
      <c r="G550"/>
    </row>
    <row r="551" spans="7:7" x14ac:dyDescent="0.2">
      <c r="G551"/>
    </row>
    <row r="552" spans="7:7" x14ac:dyDescent="0.2">
      <c r="G552"/>
    </row>
    <row r="553" spans="7:7" x14ac:dyDescent="0.2">
      <c r="G553"/>
    </row>
    <row r="554" spans="7:7" x14ac:dyDescent="0.2">
      <c r="G554"/>
    </row>
    <row r="555" spans="7:7" x14ac:dyDescent="0.2">
      <c r="G555"/>
    </row>
    <row r="556" spans="7:7" x14ac:dyDescent="0.2">
      <c r="G556"/>
    </row>
    <row r="557" spans="7:7" x14ac:dyDescent="0.2">
      <c r="G557"/>
    </row>
    <row r="558" spans="7:7" x14ac:dyDescent="0.2">
      <c r="G558"/>
    </row>
    <row r="559" spans="7:7" x14ac:dyDescent="0.2">
      <c r="G559"/>
    </row>
    <row r="560" spans="7:7" x14ac:dyDescent="0.2">
      <c r="G560"/>
    </row>
    <row r="561" spans="7:7" x14ac:dyDescent="0.2">
      <c r="G561"/>
    </row>
    <row r="562" spans="7:7" x14ac:dyDescent="0.2">
      <c r="G562"/>
    </row>
    <row r="563" spans="7:7" x14ac:dyDescent="0.2">
      <c r="G563"/>
    </row>
    <row r="564" spans="7:7" x14ac:dyDescent="0.2">
      <c r="G564"/>
    </row>
    <row r="565" spans="7:7" x14ac:dyDescent="0.2">
      <c r="G565"/>
    </row>
    <row r="566" spans="7:7" x14ac:dyDescent="0.2">
      <c r="G566"/>
    </row>
    <row r="567" spans="7:7" x14ac:dyDescent="0.2">
      <c r="G567"/>
    </row>
    <row r="568" spans="7:7" x14ac:dyDescent="0.2">
      <c r="G568"/>
    </row>
    <row r="569" spans="7:7" x14ac:dyDescent="0.2">
      <c r="G569"/>
    </row>
    <row r="570" spans="7:7" x14ac:dyDescent="0.2">
      <c r="G570"/>
    </row>
    <row r="571" spans="7:7" x14ac:dyDescent="0.2">
      <c r="G571"/>
    </row>
    <row r="572" spans="7:7" x14ac:dyDescent="0.2">
      <c r="G572"/>
    </row>
    <row r="573" spans="7:7" x14ac:dyDescent="0.2">
      <c r="G573"/>
    </row>
    <row r="574" spans="7:7" x14ac:dyDescent="0.2">
      <c r="G574"/>
    </row>
    <row r="575" spans="7:7" x14ac:dyDescent="0.2">
      <c r="G575"/>
    </row>
    <row r="576" spans="7:7" x14ac:dyDescent="0.2">
      <c r="G576"/>
    </row>
    <row r="577" spans="7:7" x14ac:dyDescent="0.2">
      <c r="G577"/>
    </row>
    <row r="578" spans="7:7" x14ac:dyDescent="0.2">
      <c r="G578"/>
    </row>
    <row r="579" spans="7:7" x14ac:dyDescent="0.2">
      <c r="G579"/>
    </row>
    <row r="580" spans="7:7" x14ac:dyDescent="0.2">
      <c r="G580"/>
    </row>
    <row r="581" spans="7:7" x14ac:dyDescent="0.2">
      <c r="G581"/>
    </row>
    <row r="582" spans="7:7" x14ac:dyDescent="0.2">
      <c r="G582"/>
    </row>
    <row r="583" spans="7:7" x14ac:dyDescent="0.2">
      <c r="G583"/>
    </row>
    <row r="584" spans="7:7" x14ac:dyDescent="0.2">
      <c r="G584"/>
    </row>
    <row r="585" spans="7:7" x14ac:dyDescent="0.2">
      <c r="G585"/>
    </row>
    <row r="586" spans="7:7" x14ac:dyDescent="0.2">
      <c r="G586"/>
    </row>
    <row r="587" spans="7:7" x14ac:dyDescent="0.2">
      <c r="G587"/>
    </row>
    <row r="588" spans="7:7" x14ac:dyDescent="0.2">
      <c r="G588"/>
    </row>
    <row r="589" spans="7:7" x14ac:dyDescent="0.2">
      <c r="G589"/>
    </row>
    <row r="590" spans="7:7" x14ac:dyDescent="0.2">
      <c r="G590"/>
    </row>
    <row r="591" spans="7:7" x14ac:dyDescent="0.2">
      <c r="G591"/>
    </row>
    <row r="592" spans="7:7" x14ac:dyDescent="0.2">
      <c r="G592"/>
    </row>
    <row r="593" spans="7:7" x14ac:dyDescent="0.2">
      <c r="G593"/>
    </row>
    <row r="594" spans="7:7" x14ac:dyDescent="0.2">
      <c r="G594"/>
    </row>
    <row r="595" spans="7:7" x14ac:dyDescent="0.2">
      <c r="G595"/>
    </row>
    <row r="596" spans="7:7" x14ac:dyDescent="0.2">
      <c r="G596"/>
    </row>
    <row r="597" spans="7:7" x14ac:dyDescent="0.2">
      <c r="G597"/>
    </row>
    <row r="598" spans="7:7" x14ac:dyDescent="0.2">
      <c r="G598"/>
    </row>
    <row r="599" spans="7:7" x14ac:dyDescent="0.2">
      <c r="G599"/>
    </row>
    <row r="600" spans="7:7" x14ac:dyDescent="0.2">
      <c r="G600"/>
    </row>
    <row r="601" spans="7:7" x14ac:dyDescent="0.2">
      <c r="G601"/>
    </row>
    <row r="602" spans="7:7" x14ac:dyDescent="0.2">
      <c r="G602"/>
    </row>
    <row r="603" spans="7:7" x14ac:dyDescent="0.2">
      <c r="G603"/>
    </row>
    <row r="604" spans="7:7" x14ac:dyDescent="0.2">
      <c r="G604"/>
    </row>
    <row r="605" spans="7:7" x14ac:dyDescent="0.2">
      <c r="G605"/>
    </row>
    <row r="606" spans="7:7" x14ac:dyDescent="0.2">
      <c r="G606"/>
    </row>
    <row r="607" spans="7:7" x14ac:dyDescent="0.2">
      <c r="G607"/>
    </row>
    <row r="608" spans="7:7" x14ac:dyDescent="0.2">
      <c r="G608"/>
    </row>
    <row r="609" spans="7:7" x14ac:dyDescent="0.2">
      <c r="G609"/>
    </row>
    <row r="610" spans="7:7" x14ac:dyDescent="0.2">
      <c r="G610"/>
    </row>
    <row r="611" spans="7:7" x14ac:dyDescent="0.2">
      <c r="G611"/>
    </row>
    <row r="612" spans="7:7" x14ac:dyDescent="0.2">
      <c r="G612"/>
    </row>
    <row r="613" spans="7:7" x14ac:dyDescent="0.2">
      <c r="G613"/>
    </row>
    <row r="614" spans="7:7" x14ac:dyDescent="0.2">
      <c r="G614"/>
    </row>
    <row r="615" spans="7:7" x14ac:dyDescent="0.2">
      <c r="G615"/>
    </row>
    <row r="616" spans="7:7" x14ac:dyDescent="0.2">
      <c r="G616"/>
    </row>
    <row r="617" spans="7:7" x14ac:dyDescent="0.2">
      <c r="G617"/>
    </row>
    <row r="618" spans="7:7" x14ac:dyDescent="0.2">
      <c r="G618"/>
    </row>
    <row r="619" spans="7:7" x14ac:dyDescent="0.2">
      <c r="G619"/>
    </row>
    <row r="620" spans="7:7" x14ac:dyDescent="0.2">
      <c r="G620"/>
    </row>
    <row r="621" spans="7:7" x14ac:dyDescent="0.2">
      <c r="G621"/>
    </row>
    <row r="622" spans="7:7" x14ac:dyDescent="0.2">
      <c r="G622"/>
    </row>
    <row r="623" spans="7:7" x14ac:dyDescent="0.2">
      <c r="G623"/>
    </row>
  </sheetData>
  <mergeCells count="55">
    <mergeCell ref="G28:K28"/>
    <mergeCell ref="G21:K21"/>
    <mergeCell ref="B3:E3"/>
    <mergeCell ref="A2:E2"/>
    <mergeCell ref="Q3:S3"/>
    <mergeCell ref="Q23:T24"/>
    <mergeCell ref="Q5:R5"/>
    <mergeCell ref="Q6:R6"/>
    <mergeCell ref="Q7:R7"/>
    <mergeCell ref="G2:O3"/>
    <mergeCell ref="A20:C21"/>
    <mergeCell ref="G19:O20"/>
    <mergeCell ref="C40:D40"/>
    <mergeCell ref="B55:D55"/>
    <mergeCell ref="B46:D46"/>
    <mergeCell ref="C44:D44"/>
    <mergeCell ref="C52:D52"/>
    <mergeCell ref="C53:D53"/>
    <mergeCell ref="C26:D26"/>
    <mergeCell ref="B22:D22"/>
    <mergeCell ref="B37:D37"/>
    <mergeCell ref="C38:D38"/>
    <mergeCell ref="C39:D39"/>
    <mergeCell ref="A30:D30"/>
    <mergeCell ref="Q4:S4"/>
    <mergeCell ref="Q11:T11"/>
    <mergeCell ref="C23:D23"/>
    <mergeCell ref="C24:D24"/>
    <mergeCell ref="C25:D25"/>
    <mergeCell ref="G82:K82"/>
    <mergeCell ref="G104:K104"/>
    <mergeCell ref="C61:D61"/>
    <mergeCell ref="C62:D62"/>
    <mergeCell ref="C51:D51"/>
    <mergeCell ref="C56:D56"/>
    <mergeCell ref="C60:D60"/>
    <mergeCell ref="C57:D57"/>
    <mergeCell ref="C58:D58"/>
    <mergeCell ref="C59:D59"/>
    <mergeCell ref="A64:D64"/>
    <mergeCell ref="A36:D36"/>
    <mergeCell ref="G119:K119"/>
    <mergeCell ref="G134:K134"/>
    <mergeCell ref="C31:D31"/>
    <mergeCell ref="C32:D32"/>
    <mergeCell ref="C33:D33"/>
    <mergeCell ref="C41:D41"/>
    <mergeCell ref="C42:D42"/>
    <mergeCell ref="C43:D43"/>
    <mergeCell ref="C47:D47"/>
    <mergeCell ref="C48:D48"/>
    <mergeCell ref="C49:D49"/>
    <mergeCell ref="C50:D50"/>
    <mergeCell ref="G44:K44"/>
    <mergeCell ref="G60:K60"/>
  </mergeCells>
  <conditionalFormatting pivot="1" sqref="H23:H25">
    <cfRule type="cellIs" dxfId="95" priority="9" operator="equal">
      <formula>$H$23</formula>
    </cfRule>
  </conditionalFormatting>
  <conditionalFormatting pivot="1" sqref="I25">
    <cfRule type="cellIs" dxfId="94" priority="8" operator="equal">
      <formula>$I$25</formula>
    </cfRule>
  </conditionalFormatting>
  <conditionalFormatting pivot="1" sqref="H26">
    <cfRule type="cellIs" dxfId="93" priority="5" operator="equal">
      <formula>$H$23</formula>
    </cfRule>
  </conditionalFormatting>
  <conditionalFormatting pivot="1" sqref="H62:H80">
    <cfRule type="cellIs" dxfId="92" priority="4" operator="equal">
      <formula>$H$23</formula>
    </cfRule>
  </conditionalFormatting>
  <conditionalFormatting pivot="1" sqref="H84 H85:H89 H90 H91:H95 H96 H97:H101">
    <cfRule type="cellIs" dxfId="91" priority="3" operator="equal">
      <formula>$H$23</formula>
    </cfRule>
  </conditionalFormatting>
  <conditionalFormatting sqref="H103">
    <cfRule type="cellIs" dxfId="90" priority="2" operator="equal">
      <formula>$H$23</formula>
    </cfRule>
  </conditionalFormatting>
  <conditionalFormatting pivot="1" sqref="H106:H117">
    <cfRule type="cellIs" dxfId="89" priority="1" operator="equal">
      <formula>$H$23</formula>
    </cfRule>
  </conditionalFormatting>
  <dataValidations count="1">
    <dataValidation type="custom" allowBlank="1" showInputMessage="1" showErrorMessage="1" prompt="Completar con ID de factura" sqref="C23:D23" xr:uid="{5D611F0F-FA1E-DF46-A1EB-EC4C77E0691D}">
      <formula1>C23</formula1>
    </dataValidation>
  </dataValidations>
  <pageMargins left="0.7" right="0.7" top="0.75" bottom="0.75" header="0.3" footer="0.3"/>
  <pageSetup paperSize="9" orientation="portrait" horizontalDpi="0" verticalDpi="0"/>
  <headerFooter alignWithMargins="0"/>
  <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262C7-1A1B-7543-B1DA-CAE5536DBE7D}">
  <sheetPr codeName="Hoja4"/>
  <dimension ref="B1:B25"/>
  <sheetViews>
    <sheetView showGridLines="0" workbookViewId="0">
      <selection activeCell="B7" sqref="B7"/>
    </sheetView>
  </sheetViews>
  <sheetFormatPr baseColWidth="10" defaultRowHeight="30" customHeight="1" x14ac:dyDescent="0.25"/>
  <cols>
    <col min="2" max="2" width="173" style="123" customWidth="1"/>
  </cols>
  <sheetData>
    <row r="1" spans="2:2" ht="30" customHeight="1" x14ac:dyDescent="0.2">
      <c r="B1" s="124" t="s">
        <v>877</v>
      </c>
    </row>
    <row r="2" spans="2:2" ht="87" customHeight="1" x14ac:dyDescent="0.2">
      <c r="B2" s="125" t="s">
        <v>879</v>
      </c>
    </row>
    <row r="3" spans="2:2" ht="67" customHeight="1" x14ac:dyDescent="0.2">
      <c r="B3" s="125" t="s">
        <v>863</v>
      </c>
    </row>
    <row r="4" spans="2:2" ht="69" customHeight="1" x14ac:dyDescent="0.2">
      <c r="B4" s="125" t="s">
        <v>878</v>
      </c>
    </row>
    <row r="5" spans="2:2" ht="17" customHeight="1" x14ac:dyDescent="0.2">
      <c r="B5" s="126"/>
    </row>
    <row r="6" spans="2:2" ht="30" customHeight="1" x14ac:dyDescent="0.2">
      <c r="B6" s="127" t="s">
        <v>864</v>
      </c>
    </row>
    <row r="7" spans="2:2" ht="49" customHeight="1" x14ac:dyDescent="0.2">
      <c r="B7" s="125" t="s">
        <v>865</v>
      </c>
    </row>
    <row r="8" spans="2:2" ht="47" customHeight="1" x14ac:dyDescent="0.2">
      <c r="B8" s="125" t="s">
        <v>868</v>
      </c>
    </row>
    <row r="9" spans="2:2" ht="23" customHeight="1" x14ac:dyDescent="0.2">
      <c r="B9" s="125" t="s">
        <v>869</v>
      </c>
    </row>
    <row r="10" spans="2:2" ht="49" customHeight="1" x14ac:dyDescent="0.2">
      <c r="B10" s="125" t="s">
        <v>870</v>
      </c>
    </row>
    <row r="11" spans="2:2" ht="30" customHeight="1" x14ac:dyDescent="0.2">
      <c r="B11" s="126" t="s">
        <v>871</v>
      </c>
    </row>
    <row r="12" spans="2:2" ht="47" customHeight="1" x14ac:dyDescent="0.2">
      <c r="B12" s="125" t="s">
        <v>872</v>
      </c>
    </row>
    <row r="13" spans="2:2" ht="47" customHeight="1" x14ac:dyDescent="0.2">
      <c r="B13" s="125" t="s">
        <v>873</v>
      </c>
    </row>
    <row r="14" spans="2:2" ht="26" customHeight="1" x14ac:dyDescent="0.2">
      <c r="B14" s="126" t="s">
        <v>876</v>
      </c>
    </row>
    <row r="15" spans="2:2" ht="25" customHeight="1" x14ac:dyDescent="0.2">
      <c r="B15" s="126" t="s">
        <v>874</v>
      </c>
    </row>
    <row r="16" spans="2:2" ht="23" customHeight="1" x14ac:dyDescent="0.2">
      <c r="B16" s="128" t="s">
        <v>866</v>
      </c>
    </row>
    <row r="17" spans="2:2" ht="25" customHeight="1" x14ac:dyDescent="0.2">
      <c r="B17" s="126" t="s">
        <v>875</v>
      </c>
    </row>
    <row r="18" spans="2:2" ht="30" customHeight="1" x14ac:dyDescent="0.2">
      <c r="B18" s="128" t="s">
        <v>867</v>
      </c>
    </row>
    <row r="19" spans="2:2" ht="30" customHeight="1" x14ac:dyDescent="0.2">
      <c r="B19" s="126"/>
    </row>
    <row r="20" spans="2:2" ht="30" customHeight="1" x14ac:dyDescent="0.2">
      <c r="B20" s="126"/>
    </row>
    <row r="21" spans="2:2" ht="30" customHeight="1" x14ac:dyDescent="0.2">
      <c r="B21" s="126"/>
    </row>
    <row r="22" spans="2:2" ht="30" customHeight="1" x14ac:dyDescent="0.2">
      <c r="B22" s="126"/>
    </row>
    <row r="23" spans="2:2" ht="30" customHeight="1" x14ac:dyDescent="0.2">
      <c r="B23" s="126"/>
    </row>
    <row r="24" spans="2:2" ht="30" customHeight="1" x14ac:dyDescent="0.2">
      <c r="B24" s="126"/>
    </row>
    <row r="25" spans="2:2" ht="30" customHeight="1" x14ac:dyDescent="0.2">
      <c r="B25" s="12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9339-ACB9-1949-BD3E-189681CC6990}">
  <sheetPr codeName="Hoja6"/>
  <dimension ref="A1"/>
  <sheetViews>
    <sheetView showGridLines="0" tabSelected="1" topLeftCell="C3" zoomScale="70" zoomScaleNormal="70" workbookViewId="0">
      <selection activeCell="AI14" sqref="AI14"/>
    </sheetView>
  </sheetViews>
  <sheetFormatPr baseColWidth="10" defaultRowHeight="16" x14ac:dyDescent="0.2"/>
  <cols>
    <col min="44" max="44" width="10.83203125" customWidth="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Tabla_Ventas</vt:lpstr>
      <vt:lpstr>Tabla_poblacion</vt:lpstr>
      <vt:lpstr>Auxiliar</vt:lpstr>
      <vt:lpstr>Readme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2023-02-02T16:10:49Z</dcterms:created>
  <dcterms:modified xsi:type="dcterms:W3CDTF">2023-03-15T13:53:34Z</dcterms:modified>
</cp:coreProperties>
</file>